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f47f5a15569621fc/Escritorio/Examen ing software/"/>
    </mc:Choice>
  </mc:AlternateContent>
  <xr:revisionPtr revIDLastSave="0" documentId="8_{D8EE482F-2F64-4F8E-A75F-9CD4F7265A57}" xr6:coauthVersionLast="47" xr6:coauthVersionMax="47" xr10:uidLastSave="{00000000-0000-0000-0000-000000000000}"/>
  <bookViews>
    <workbookView xWindow="-108" yWindow="-108" windowWidth="23256" windowHeight="13176" activeTab="1" xr2:uid="{00000000-000D-0000-FFFF-FFFF00000000}"/>
  </bookViews>
  <sheets>
    <sheet name="Instrucciones" sheetId="1" r:id="rId1"/>
    <sheet name="Evaluacion" sheetId="2" r:id="rId2"/>
    <sheet name="Resumen" sheetId="3" r:id="rId3"/>
    <sheet name="Referenci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3" i="3" l="1"/>
  <c r="C14" i="3"/>
  <c r="F14" i="3" s="1"/>
  <c r="E22" i="3"/>
  <c r="D22" i="3"/>
  <c r="C22" i="3"/>
  <c r="E21" i="3"/>
  <c r="D21" i="3"/>
  <c r="C21" i="3"/>
  <c r="E20" i="3"/>
  <c r="D20" i="3"/>
  <c r="C20" i="3"/>
  <c r="G20" i="3" s="1"/>
  <c r="E19" i="3"/>
  <c r="D19" i="3"/>
  <c r="C19" i="3"/>
  <c r="E18" i="3"/>
  <c r="D18" i="3"/>
  <c r="C18" i="3"/>
  <c r="G18" i="3" s="1"/>
  <c r="E17" i="3"/>
  <c r="D17" i="3"/>
  <c r="C17" i="3"/>
  <c r="E16" i="3"/>
  <c r="D16" i="3"/>
  <c r="C16" i="3"/>
  <c r="G16" i="3" s="1"/>
  <c r="E15" i="3"/>
  <c r="D15" i="3"/>
  <c r="C15" i="3"/>
  <c r="E14" i="3"/>
  <c r="D14" i="3"/>
  <c r="E13" i="3"/>
  <c r="D13" i="3"/>
  <c r="C9" i="3"/>
  <c r="C8" i="3"/>
  <c r="C7" i="3"/>
  <c r="C6" i="3"/>
  <c r="C5" i="3"/>
  <c r="G13" i="3" l="1"/>
  <c r="F19" i="3"/>
  <c r="G22" i="3"/>
  <c r="G21" i="3"/>
  <c r="G15" i="3"/>
  <c r="F17" i="3"/>
  <c r="G17" i="3"/>
  <c r="G14" i="3"/>
  <c r="F16" i="3"/>
  <c r="F21" i="3"/>
  <c r="F13" i="3"/>
  <c r="F18" i="3"/>
  <c r="F20" i="3"/>
  <c r="F15" i="3"/>
  <c r="G19" i="3"/>
  <c r="F22" i="3"/>
</calcChain>
</file>

<file path=xl/sharedStrings.xml><?xml version="1.0" encoding="utf-8"?>
<sst xmlns="http://schemas.openxmlformats.org/spreadsheetml/2006/main" count="149" uniqueCount="132">
  <si>
    <t>EVALUACION HEURISTICA DE USABILIDAD - NIELSEN</t>
  </si>
  <si>
    <t>INSTRUCCIONES DE USO</t>
  </si>
  <si>
    <t>1. Complete los datos del equipo evaluador en esta hoja.</t>
  </si>
  <si>
    <t>2. Navegue por el MVP asignado durante al menos 20 minutos antes de evaluar.</t>
  </si>
  <si>
    <t>3. Use la hoja 'Evaluacion' para registrar todos los problemas encontrados.</t>
  </si>
  <si>
    <t>4. Para cada problema, asigne una severidad segun la escala de Nielsen (0 a 4).</t>
  </si>
  <si>
    <t>5. Documente con capturas de pantalla o notas descriptivas en la columna Evidencia.</t>
  </si>
  <si>
    <t>6. La hoja 'Resumen' se actualiza automaticamente al completar la evaluacion.</t>
  </si>
  <si>
    <t>7. La hoja 'Referencia' contiene los principios y ejemplos para consulta.</t>
  </si>
  <si>
    <t>ESCALA DE SEVERIDAD (Nielsen, 1994)</t>
  </si>
  <si>
    <t>0</t>
  </si>
  <si>
    <t>No es un problema de usabilidad</t>
  </si>
  <si>
    <t>1</t>
  </si>
  <si>
    <t>2</t>
  </si>
  <si>
    <t>3</t>
  </si>
  <si>
    <t>4</t>
  </si>
  <si>
    <t>REGISTRO DE PROBLEMAS DE USABILIDAD — EVALUACION HEURISTICA</t>
  </si>
  <si>
    <t>Complete una fila por cada problema encontrado. Puede agregar mas filas segun sea necesario.</t>
  </si>
  <si>
    <t>#</t>
  </si>
  <si>
    <t>Heuristica</t>
  </si>
  <si>
    <t>Descripcion del problema</t>
  </si>
  <si>
    <t>Ubicacion en el MVP</t>
  </si>
  <si>
    <t>Severidad
(0-4)</t>
  </si>
  <si>
    <t>Evidencia
(captura/URL)</t>
  </si>
  <si>
    <t>Recomendacion de mejora</t>
  </si>
  <si>
    <t>Evaluador</t>
  </si>
  <si>
    <t>Los valores se calculan automaticamente desde la hoja Evaluacion</t>
  </si>
  <si>
    <t>METRICAS GLOBALES</t>
  </si>
  <si>
    <t>Total de problemas registrados</t>
  </si>
  <si>
    <t>Promedio de severidad</t>
  </si>
  <si>
    <t>Problemas catastroficos (sev. 4)</t>
  </si>
  <si>
    <t>Problemas mayores (sev. 3)</t>
  </si>
  <si>
    <t>Problemas menores (sev. 1-2)</t>
  </si>
  <si>
    <t>DISTRIBUCION POR HEURISTICA</t>
  </si>
  <si>
    <t># Problemas</t>
  </si>
  <si>
    <t>Sev. Max.</t>
  </si>
  <si>
    <t>Sev. Prom.</t>
  </si>
  <si>
    <t>Estado</t>
  </si>
  <si>
    <t>Prioridad</t>
  </si>
  <si>
    <t>H1 - Visibilidad del estado</t>
  </si>
  <si>
    <t>H2 - Sistema y mundo real</t>
  </si>
  <si>
    <t>H3 - Control y libertad</t>
  </si>
  <si>
    <t>H4 - Consistencia y estandares</t>
  </si>
  <si>
    <t>H5 - Prevencion de errores</t>
  </si>
  <si>
    <t>H6 - Reconocimiento &gt; recuerdo</t>
  </si>
  <si>
    <t>H7 - Flexibilidad y eficiencia</t>
  </si>
  <si>
    <t>H8 - Diseno minimalista</t>
  </si>
  <si>
    <t>H9 - Recuperacion de errores</t>
  </si>
  <si>
    <t>H10 - Ayuda y documentacion</t>
  </si>
  <si>
    <t>REFERENCIA RAPIDA — 10 HEURISTICAS DE NIELSEN</t>
  </si>
  <si>
    <t>Consulta este panel mientras evaluas el MVP. Los ejemplos son orientativos para sistemas web/movil.</t>
  </si>
  <si>
    <t>Descripcion del principio</t>
  </si>
  <si>
    <t>Ejemplo en MVP (buena practica)</t>
  </si>
  <si>
    <t>Señal de problema a registrar</t>
  </si>
  <si>
    <t>H1</t>
  </si>
  <si>
    <t>Visibilidad del estado</t>
  </si>
  <si>
    <t>El sistema mantiene informado al usuario sobre lo que ocurre mediante feedback oportuno.</t>
  </si>
  <si>
    <t>Barra de progreso al subir archivos. Spinner de carga. Toast de confirmacion al guardar datos.</t>
  </si>
  <si>
    <t>Boton que no responde visualmente. Sin indicador de carga. Usuario no sabe si la accion funciono.</t>
  </si>
  <si>
    <t>H2</t>
  </si>
  <si>
    <t>Sistema y mundo real</t>
  </si>
  <si>
    <t>El sistema usa el lenguaje del usuario: palabras y conceptos familiares, no tecnicos.</t>
  </si>
  <si>
    <t>Icono de carrito para compras. 'Papelera' para eliminar. Fechas en formato dd/mm/aaaa.</t>
  </si>
  <si>
    <t>Mensajes tecnicos: 'Error 403 Forbidden'. Terminos internos del sistema expuestos al usuario.</t>
  </si>
  <si>
    <t>H3</t>
  </si>
  <si>
    <t>Control y libertad</t>
  </si>
  <si>
    <t>El usuario puede salir de acciones no deseadas con salidas de emergencia claras.</t>
  </si>
  <si>
    <t>Opcion Deshacer al eliminar elemento. Boton Cancelar en formularios. Navegacion por pasos reversible.</t>
  </si>
  <si>
    <t>Sin forma de cancelar un proceso. Formulario sin boton Atras. Sin opcion de deshacer eliminacion.</t>
  </si>
  <si>
    <t>H4</t>
  </si>
  <si>
    <t>Consistencia y estandares</t>
  </si>
  <si>
    <t>Las mismas acciones y elementos se comportan igual en todo el sistema.</t>
  </si>
  <si>
    <t>Boton primario mismo color en todo el sistema. Color rojo siempre indica error. Campos en mismo orden.</t>
  </si>
  <si>
    <t>Guardar, Registrar y Confirmar para la misma accion. Botones de distinto color por modulo.</t>
  </si>
  <si>
    <t>H5</t>
  </si>
  <si>
    <t>Prevencion de errores</t>
  </si>
  <si>
    <t>El diseño evita que los errores ocurran antes de que el usuario los cometa.</t>
  </si>
  <si>
    <t>Campo deshabilitado si falta informacion. Confirmacion antes de eliminar. Validacion en tiempo real.</t>
  </si>
  <si>
    <t>Fecha 30/02 se acepta sin validar. Boton Enviar activo con campos requeridos vacios.</t>
  </si>
  <si>
    <t>H6</t>
  </si>
  <si>
    <t>Reconocimiento &gt; recuerdo</t>
  </si>
  <si>
    <t>Minimizar la carga de memoria: las opciones disponibles deben ser visibles, no memorizadas.</t>
  </si>
  <si>
    <t>Autocompletado en busquedas. Historial de elementos recientes. Breadcrumbs de navegacion.</t>
  </si>
  <si>
    <t>Usuario debe recordar sintaxis exacta. Formulario borra datos al navegar hacia atras.</t>
  </si>
  <si>
    <t>H7</t>
  </si>
  <si>
    <t>Flexibilidad y eficiencia</t>
  </si>
  <si>
    <t>Atajos para expertos sin afectar la experiencia de usuarios nuevos.</t>
  </si>
  <si>
    <t>Atajos de teclado Ctrl+N. Filtros guardados. Exportacion masiva de datos con un clic.</t>
  </si>
  <si>
    <t>Solo se puede registrar de uno en uno. No hay forma de repetir la ultima accion ejecutada.</t>
  </si>
  <si>
    <t>H8</t>
  </si>
  <si>
    <t>Diseño minimalista</t>
  </si>
  <si>
    <t>Solo la informacion necesaria: los elementos irrelevantes compiten por la atencion del usuario.</t>
  </si>
  <si>
    <t>Dashboard con 3 a 5 metricas clave. Formulario en pasos, no todo en una pantalla.</t>
  </si>
  <si>
    <t>20 botones visibles simultaneamente. Panel con informacion que nunca se usa en el flujo principal.</t>
  </si>
  <si>
    <t>H9</t>
  </si>
  <si>
    <t>Recuperacion de errores</t>
  </si>
  <si>
    <t>Los mensajes de error son claros, indican el problema exacto y sugieren una solucion concreta.</t>
  </si>
  <si>
    <t>'El correo no tiene formato valido (ej: usuario@dominio.com)'. Enlace directo a solucion del error.</t>
  </si>
  <si>
    <t>'Error 500'. 'Operacion fallida'. Mensaje generico sin indicar que hacer para resolverlo.</t>
  </si>
  <si>
    <t>H10</t>
  </si>
  <si>
    <t>Ayuda y documentacion</t>
  </si>
  <si>
    <t>La ayuda es facil de encontrar, orientada a tareas concretas y accesible desde el flujo.</t>
  </si>
  <si>
    <t>Tooltip contextual en campos complejos. Guia de inicio rapido. FAQ con buscador integrado.</t>
  </si>
  <si>
    <t>Manual PDF de 80 paginas sin buscador. Ayuda solo accesible desde el menu principal oculto.</t>
  </si>
  <si>
    <t>Ingenieria de Software - Calidad y Pruebas - Plantilla de Evaluacion</t>
  </si>
  <si>
    <t>Problema cosmético | corregir solo si hay tiempo</t>
  </si>
  <si>
    <t>Problema menor | baja prioridad de correccion</t>
  </si>
  <si>
    <t>Problema mayor  | alta prioridad, dificulta el uso</t>
  </si>
  <si>
    <t>CATASTROFICO | imperativo corregir antes del lanzamiento</t>
  </si>
  <si>
    <t>RESUMEN EJECUTIVO  EVALUACION HEURISTICA</t>
  </si>
  <si>
    <t>Panel de Gestión de Residentes</t>
  </si>
  <si>
    <t>Incorporar un modal de confirmación antes de desactivar al residente, mostrando claramente las opciones “Cancelar” y “Desactivar residente”, e informando que la acción modifica el estado sin eliminar físicamente los datos.</t>
  </si>
  <si>
    <t>Agregar validaciones visibles junto a cada campo, incluyendo mensajes específicos para datos obligatorios, RUT inválido, correo electrónico incorrecto y teléfono con formato no válido.</t>
  </si>
  <si>
    <t>Incorporar un selector obligatorio para el tipo de residente, permitiendo elegir entre Propietario y Arrendatario antes de completar el registro.</t>
  </si>
  <si>
    <t>Agregar filtros visibles por estado y tipo de residente, manteniendo además la búsqueda por nombre, RUT o departamento.</t>
  </si>
  <si>
    <t>Mostrar un mensaje como “No se encontraron residentes con los criterios ingresados” e incorporar una acción visible para limpiar la búsqueda o los filtros aplicados.</t>
  </si>
  <si>
    <t>No se observa ayuda contextual para explicar acciones o conceptos relevantes del módulo, como el significado de los estados Activo/Inactivo, la desactivación lógica o la diferencia entre Propietario y Arrendatario.</t>
  </si>
  <si>
    <t>Panel y formularios de Gestión de Residentes</t>
  </si>
  <si>
    <t>Agregar ayuda contextual breve mediante iconos, tooltips o un modal de ayuda orientado a tareas concretas.</t>
  </si>
  <si>
    <t>Benjamin Perez</t>
  </si>
  <si>
    <t>La acción de desactivar un residente no presenta una confirmación previa visible, lo que aumenta el riesgo de ejecutar accidentalmente una acción no deseada, ya que solo presionando "activar" o "desact" se hace el cambio instantaneo</t>
  </si>
  <si>
    <t>Registrar Residente</t>
  </si>
  <si>
    <t>La seccion de registro de residente no presenta validaciones visuales junto a los campos a rellenar, para orientar al usuario ante datos incompletos o formatos inválidos.</t>
  </si>
  <si>
    <t>La seccion de registro de residente no tiene un campo para seleccionar el tipo de residente, impidiendo diferenciar claramente entre Propietario y Arrendatario durante el registro.</t>
  </si>
  <si>
    <t>El panel permite realizar búsquedas, pero no presenta filtros visibles por estado o tipo de residente, lo que dificulta la busqueda expedita.</t>
  </si>
  <si>
    <t>Al realizar una búsqueda sin coincidencias, la interfaz muestra únicamente el mensaje “Sin registros”, sin explicar que no se encontraron resultados para el criterio ingresado ni ofrecer una acción directa para restablecer la búsqueda.</t>
  </si>
  <si>
    <t>Observación manual: Al ingresar un criterio de búsqueda sin coincidencias en la versión 1.0, el sistema muestra únicamente el mensaje “Sin registros”.</t>
  </si>
  <si>
    <t>Observación manual:En la versión 1.0, no se identifican elementos de ayuda contextual, tooltips ni explicaciones breves para acciones y conceptos relevantes del módulo de Gestión de Residentes.</t>
  </si>
  <si>
    <t>Observación manual: En la versión 1.0, el panel dispone de búsqueda de residentes, pero no presenta filtros específicos por estado ni por tipo de residente.</t>
  </si>
  <si>
    <t>Observación manual: En la versión 1.0, el formulario de registro no presenta un campo para seleccionar el tipo de residente, por lo que no permite diferenciar visualmente entre Propietario y Arrendatario.</t>
  </si>
  <si>
    <t>Observación manual: En la versión 1.0, el formulario de registro no muestra mensajes de validación junto a los campos para informar datos obligatorios, formatos inválidos o errores de ingreso.</t>
  </si>
  <si>
    <t>Observación manual: En la versión 1.0, la opción de desactivar residente se encuentra disponible desde el panel de gestión sin presentar previamente una ventana de confirmación de la acción.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</si>
</sst>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b/>
      <sz val="10"/>
      <color rgb="FFFFFFFF"/>
      <name val="Arial"/>
      <family val="2"/>
    </font>
    <font>
      <sz val="10"/>
      <color rgb="FF2C2C2A"/>
      <name val="Arial"/>
      <family val="2"/>
    </font>
    <font>
      <b/>
      <sz val="10"/>
      <color rgb="FF5F5E5A"/>
      <name val="Arial"/>
      <family val="2"/>
    </font>
    <font>
      <b/>
      <sz val="13"/>
      <name val="Arial"/>
      <family val="2"/>
    </font>
    <font>
      <b/>
      <sz val="16"/>
      <name val="Arial"/>
      <family val="2"/>
    </font>
    <font>
      <sz val="11"/>
      <name val="Calibri"/>
      <family val="2"/>
      <scheme val="minor"/>
    </font>
    <font>
      <i/>
      <sz val="11"/>
      <name val="Arial"/>
      <family val="2"/>
    </font>
    <font>
      <b/>
      <sz val="10"/>
      <name val="Arial"/>
      <family val="2"/>
    </font>
    <font>
      <sz val="10"/>
      <name val="Arial"/>
      <family val="2"/>
    </font>
    <font>
      <b/>
      <sz val="12"/>
      <name val="Arial"/>
      <family val="2"/>
    </font>
    <font>
      <i/>
      <sz val="9"/>
      <name val="Arial"/>
      <family val="2"/>
    </font>
    <font>
      <sz val="12"/>
      <name val="Arial"/>
      <family val="2"/>
    </font>
    <font>
      <sz val="14"/>
      <name val="Arial"/>
      <family val="2"/>
    </font>
    <font>
      <b/>
      <sz val="11"/>
      <name val="Arial"/>
      <family val="2"/>
    </font>
  </fonts>
  <fills count="7">
    <fill>
      <patternFill patternType="none"/>
    </fill>
    <fill>
      <patternFill patternType="gray125"/>
    </fill>
    <fill>
      <patternFill patternType="solid">
        <fgColor rgb="FF5F5E5A"/>
      </patternFill>
    </fill>
    <fill>
      <patternFill patternType="solid">
        <fgColor rgb="FFF8F8F6"/>
      </patternFill>
    </fill>
    <fill>
      <patternFill patternType="solid">
        <fgColor rgb="FFFFFFFF"/>
      </patternFill>
    </fill>
    <fill>
      <patternFill patternType="solid">
        <fgColor theme="0" tint="-0.34998626667073579"/>
        <bgColor indexed="64"/>
      </patternFill>
    </fill>
    <fill>
      <patternFill patternType="solid">
        <fgColor theme="0" tint="-4.9989318521683403E-2"/>
        <bgColor indexed="64"/>
      </patternFill>
    </fill>
  </fills>
  <borders count="3">
    <border>
      <left/>
      <right/>
      <top/>
      <bottom/>
      <diagonal/>
    </border>
    <border>
      <left style="thin">
        <color rgb="FFD3D1C7"/>
      </left>
      <right style="thin">
        <color rgb="FFD3D1C7"/>
      </right>
      <top style="thin">
        <color rgb="FFD3D1C7"/>
      </top>
      <bottom style="thin">
        <color rgb="FFD3D1C7"/>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2" fillId="4" borderId="1"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0" fillId="0" borderId="2" xfId="0" applyFont="1" applyBorder="1" applyAlignment="1">
      <alignment horizontal="center" vertical="center" wrapText="1"/>
    </xf>
    <xf numFmtId="0" fontId="8" fillId="5" borderId="1" xfId="0" applyFont="1" applyFill="1" applyBorder="1" applyAlignment="1">
      <alignment horizontal="center" vertical="center" wrapText="1"/>
    </xf>
    <xf numFmtId="0" fontId="8" fillId="3" borderId="2" xfId="0" applyFont="1" applyFill="1" applyBorder="1" applyAlignment="1">
      <alignment horizontal="left" vertical="center" wrapText="1"/>
    </xf>
    <xf numFmtId="0" fontId="8" fillId="6" borderId="1" xfId="0" applyFont="1" applyFill="1" applyBorder="1" applyAlignment="1">
      <alignment horizontal="left" vertical="center" wrapText="1"/>
    </xf>
    <xf numFmtId="164" fontId="6" fillId="6" borderId="1" xfId="0" applyNumberFormat="1" applyFont="1" applyFill="1" applyBorder="1" applyAlignment="1">
      <alignment horizontal="center" vertical="center" wrapText="1"/>
    </xf>
    <xf numFmtId="0" fontId="9" fillId="6"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164" fontId="6" fillId="4" borderId="1" xfId="0"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12" fillId="6"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5" fillId="5" borderId="0" xfId="0" applyFont="1" applyFill="1" applyAlignment="1">
      <alignment horizontal="center" vertical="center" wrapText="1"/>
    </xf>
    <xf numFmtId="0" fontId="6" fillId="5" borderId="0" xfId="0" applyFont="1" applyFill="1"/>
    <xf numFmtId="0" fontId="9" fillId="0" borderId="2" xfId="0" applyFont="1" applyBorder="1" applyAlignment="1">
      <alignment horizontal="left" vertical="center" wrapText="1"/>
    </xf>
    <xf numFmtId="0" fontId="6" fillId="0" borderId="2" xfId="0" applyFont="1" applyBorder="1"/>
    <xf numFmtId="0" fontId="7" fillId="5" borderId="0" xfId="0" applyFont="1" applyFill="1" applyAlignment="1">
      <alignment horizontal="center" vertical="center" wrapText="1"/>
    </xf>
    <xf numFmtId="0" fontId="8" fillId="0" borderId="2" xfId="0" applyFont="1" applyBorder="1" applyAlignment="1">
      <alignment horizontal="left" vertical="center" wrapText="1"/>
    </xf>
    <xf numFmtId="0" fontId="8" fillId="5" borderId="2" xfId="0" applyFont="1" applyFill="1" applyBorder="1" applyAlignment="1">
      <alignment horizontal="left" vertical="center" wrapText="1"/>
    </xf>
    <xf numFmtId="0" fontId="6" fillId="5" borderId="2" xfId="0" applyFont="1" applyFill="1" applyBorder="1"/>
    <xf numFmtId="0" fontId="11" fillId="5" borderId="0" xfId="0" applyFont="1" applyFill="1" applyAlignment="1">
      <alignment horizontal="center" vertical="center" wrapText="1"/>
    </xf>
    <xf numFmtId="0" fontId="4" fillId="5" borderId="0" xfId="0" applyFont="1" applyFill="1" applyAlignment="1">
      <alignment horizontal="center" vertical="center" wrapText="1"/>
    </xf>
    <xf numFmtId="0" fontId="13" fillId="4" borderId="2" xfId="0" applyFont="1" applyFill="1" applyBorder="1" applyAlignment="1">
      <alignment horizontal="center" vertical="center" wrapText="1"/>
    </xf>
    <xf numFmtId="0" fontId="8" fillId="5" borderId="0" xfId="0" applyFont="1" applyFill="1" applyAlignment="1">
      <alignment horizontal="left" vertical="center" wrapText="1"/>
    </xf>
    <xf numFmtId="164" fontId="13" fillId="4" borderId="2" xfId="0" applyNumberFormat="1" applyFont="1" applyFill="1" applyBorder="1" applyAlignment="1">
      <alignment horizontal="center" vertical="center" wrapText="1"/>
    </xf>
    <xf numFmtId="0" fontId="1" fillId="2" borderId="0" xfId="0" applyFont="1" applyFill="1" applyAlignment="1">
      <alignment horizontal="left" vertical="center" wrapText="1"/>
    </xf>
    <xf numFmtId="0" fontId="0" fillId="0" borderId="0" xfId="0"/>
    <xf numFmtId="0" fontId="0" fillId="0" borderId="0" xfId="0" applyAlignment="1">
      <alignment wrapText="1"/>
    </xf>
  </cellXfs>
  <cellStyles count="1">
    <cellStyle name="Normal" xfId="0" builtinId="0"/>
  </cellStyles>
  <dxfs count="13">
    <dxf>
      <font>
        <b/>
        <sz val="13"/>
        <color rgb="FF791F1F"/>
        <name val="Arial"/>
      </font>
      <fill>
        <patternFill>
          <bgColor rgb="FFFCEBEB"/>
        </patternFill>
      </fill>
    </dxf>
    <dxf>
      <font>
        <b/>
        <sz val="13"/>
        <color rgb="FF8B4000"/>
        <name val="Arial"/>
      </font>
      <fill>
        <patternFill>
          <bgColor rgb="FFFCEBD0"/>
        </patternFill>
      </fill>
    </dxf>
    <dxf>
      <font>
        <b/>
        <sz val="13"/>
        <color rgb="FF633806"/>
        <name val="Arial"/>
      </font>
      <fill>
        <patternFill>
          <bgColor rgb="FFFAEEDA"/>
        </patternFill>
      </fill>
    </dxf>
    <dxf>
      <font>
        <b/>
        <sz val="13"/>
        <color rgb="FF633806"/>
        <name val="Arial"/>
      </font>
      <fill>
        <patternFill>
          <bgColor rgb="FFFFF9F0"/>
        </patternFill>
      </fill>
    </dxf>
    <dxf>
      <font>
        <b/>
        <sz val="13"/>
        <color rgb="FF5F5E5A"/>
        <name val="Arial"/>
      </font>
      <fill>
        <patternFill>
          <bgColor rgb="FFFFFFFF"/>
        </patternFill>
      </fill>
    </dxf>
    <dxf>
      <font>
        <color rgb="FF27500A"/>
        <name val="Arial"/>
      </font>
      <fill>
        <patternFill>
          <bgColor rgb="FFEAF3DE"/>
        </patternFill>
      </fill>
    </dxf>
    <dxf>
      <font>
        <b/>
        <color rgb="FF633806"/>
        <name val="Arial"/>
      </font>
      <fill>
        <patternFill>
          <bgColor rgb="FFFAEEDA"/>
        </patternFill>
      </fill>
    </dxf>
    <dxf>
      <font>
        <b/>
        <color rgb="FF791F1F"/>
        <name val="Arial"/>
      </font>
      <fill>
        <patternFill>
          <bgColor rgb="FFFCEBEB"/>
        </patternFill>
      </fill>
    </dxf>
    <dxf>
      <font>
        <b/>
        <sz val="13"/>
        <color rgb="FF791F1F"/>
        <name val="Arial"/>
      </font>
      <fill>
        <patternFill>
          <bgColor rgb="FFFCEBEB"/>
        </patternFill>
      </fill>
    </dxf>
    <dxf>
      <font>
        <b/>
        <sz val="13"/>
        <color rgb="FF8B4000"/>
        <name val="Arial"/>
      </font>
      <fill>
        <patternFill>
          <bgColor rgb="FFFCEBD0"/>
        </patternFill>
      </fill>
    </dxf>
    <dxf>
      <font>
        <b/>
        <sz val="13"/>
        <color rgb="FF633806"/>
        <name val="Arial"/>
      </font>
      <fill>
        <patternFill>
          <bgColor rgb="FFFAEEDA"/>
        </patternFill>
      </fill>
    </dxf>
    <dxf>
      <font>
        <b/>
        <sz val="13"/>
        <color rgb="FF633806"/>
        <name val="Arial"/>
      </font>
      <fill>
        <patternFill>
          <bgColor rgb="FFFFF9F0"/>
        </patternFill>
      </fill>
    </dxf>
    <dxf>
      <font>
        <b/>
        <sz val="13"/>
        <color rgb="FF5F5E5A"/>
        <name val="Arial"/>
      </font>
      <fill>
        <patternFill>
          <bgColor rgb="FFFFFF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E20"/>
  <sheetViews>
    <sheetView showGridLines="0" topLeftCell="A3" zoomScale="140" zoomScaleNormal="140" workbookViewId="0">
      <selection activeCell="B8" sqref="B8:E8"/>
    </sheetView>
  </sheetViews>
  <sheetFormatPr baseColWidth="10" defaultColWidth="8.77734375" defaultRowHeight="14.4" x14ac:dyDescent="0.3"/>
  <cols>
    <col min="1" max="1" width="2" customWidth="1"/>
    <col min="2" max="2" width="22" customWidth="1"/>
    <col min="3" max="3" width="50" customWidth="1"/>
    <col min="4" max="4" width="22" customWidth="1"/>
    <col min="5" max="5" width="18" customWidth="1"/>
  </cols>
  <sheetData>
    <row r="2" spans="2:5" ht="40.049999999999997" customHeight="1" x14ac:dyDescent="0.3">
      <c r="B2" s="21" t="s">
        <v>0</v>
      </c>
      <c r="C2" s="22"/>
      <c r="D2" s="22"/>
      <c r="E2" s="22"/>
    </row>
    <row r="3" spans="2:5" ht="22.05" customHeight="1" x14ac:dyDescent="0.3">
      <c r="B3" s="25" t="s">
        <v>104</v>
      </c>
      <c r="C3" s="22"/>
      <c r="D3" s="22"/>
      <c r="E3" s="22"/>
    </row>
    <row r="5" spans="2:5" ht="18" customHeight="1" x14ac:dyDescent="0.3">
      <c r="B5" s="27" t="s">
        <v>1</v>
      </c>
      <c r="C5" s="28"/>
      <c r="D5" s="28"/>
      <c r="E5" s="28"/>
    </row>
    <row r="6" spans="2:5" ht="18" customHeight="1" x14ac:dyDescent="0.3">
      <c r="B6" s="23" t="s">
        <v>2</v>
      </c>
      <c r="C6" s="24"/>
      <c r="D6" s="24"/>
      <c r="E6" s="24"/>
    </row>
    <row r="7" spans="2:5" ht="18" customHeight="1" x14ac:dyDescent="0.3">
      <c r="B7" s="23" t="s">
        <v>3</v>
      </c>
      <c r="C7" s="24"/>
      <c r="D7" s="24"/>
      <c r="E7" s="24"/>
    </row>
    <row r="8" spans="2:5" ht="18" customHeight="1" x14ac:dyDescent="0.3">
      <c r="B8" s="23" t="s">
        <v>4</v>
      </c>
      <c r="C8" s="24"/>
      <c r="D8" s="24"/>
      <c r="E8" s="24"/>
    </row>
    <row r="9" spans="2:5" ht="18" customHeight="1" x14ac:dyDescent="0.3">
      <c r="B9" s="23" t="s">
        <v>5</v>
      </c>
      <c r="C9" s="24"/>
      <c r="D9" s="24"/>
      <c r="E9" s="24"/>
    </row>
    <row r="10" spans="2:5" ht="18" customHeight="1" x14ac:dyDescent="0.3">
      <c r="B10" s="23" t="s">
        <v>6</v>
      </c>
      <c r="C10" s="24"/>
      <c r="D10" s="24"/>
      <c r="E10" s="24"/>
    </row>
    <row r="11" spans="2:5" ht="18" customHeight="1" x14ac:dyDescent="0.3">
      <c r="B11" s="23" t="s">
        <v>7</v>
      </c>
      <c r="C11" s="24"/>
      <c r="D11" s="24"/>
      <c r="E11" s="24"/>
    </row>
    <row r="12" spans="2:5" ht="18" customHeight="1" x14ac:dyDescent="0.3">
      <c r="B12" s="23" t="s">
        <v>8</v>
      </c>
      <c r="C12" s="24"/>
      <c r="D12" s="24"/>
      <c r="E12" s="24"/>
    </row>
    <row r="15" spans="2:5" ht="18" customHeight="1" x14ac:dyDescent="0.3">
      <c r="B15" s="26" t="s">
        <v>9</v>
      </c>
      <c r="C15" s="24"/>
      <c r="D15" s="24"/>
      <c r="E15" s="24"/>
    </row>
    <row r="16" spans="2:5" ht="18" customHeight="1" x14ac:dyDescent="0.3">
      <c r="B16" s="7" t="s">
        <v>10</v>
      </c>
      <c r="C16" s="23" t="s">
        <v>11</v>
      </c>
      <c r="D16" s="24"/>
      <c r="E16" s="24"/>
    </row>
    <row r="17" spans="2:5" ht="18" customHeight="1" x14ac:dyDescent="0.3">
      <c r="B17" s="7" t="s">
        <v>12</v>
      </c>
      <c r="C17" s="23" t="s">
        <v>105</v>
      </c>
      <c r="D17" s="24"/>
      <c r="E17" s="24"/>
    </row>
    <row r="18" spans="2:5" ht="18" customHeight="1" x14ac:dyDescent="0.3">
      <c r="B18" s="7" t="s">
        <v>13</v>
      </c>
      <c r="C18" s="23" t="s">
        <v>106</v>
      </c>
      <c r="D18" s="24"/>
      <c r="E18" s="24"/>
    </row>
    <row r="19" spans="2:5" ht="18" customHeight="1" x14ac:dyDescent="0.3">
      <c r="B19" s="7" t="s">
        <v>14</v>
      </c>
      <c r="C19" s="23" t="s">
        <v>107</v>
      </c>
      <c r="D19" s="24"/>
      <c r="E19" s="24"/>
    </row>
    <row r="20" spans="2:5" ht="18" customHeight="1" x14ac:dyDescent="0.3">
      <c r="B20" s="7" t="s">
        <v>15</v>
      </c>
      <c r="C20" s="23" t="s">
        <v>108</v>
      </c>
      <c r="D20" s="24"/>
      <c r="E20" s="24"/>
    </row>
  </sheetData>
  <mergeCells count="16">
    <mergeCell ref="C20:E20"/>
    <mergeCell ref="B9:E9"/>
    <mergeCell ref="B15:E15"/>
    <mergeCell ref="C16:E16"/>
    <mergeCell ref="B5:E5"/>
    <mergeCell ref="B2:E2"/>
    <mergeCell ref="C19:E19"/>
    <mergeCell ref="B6:E6"/>
    <mergeCell ref="B12:E12"/>
    <mergeCell ref="B8:E8"/>
    <mergeCell ref="C18:E18"/>
    <mergeCell ref="B3:E3"/>
    <mergeCell ref="B11:E11"/>
    <mergeCell ref="B7:E7"/>
    <mergeCell ref="C17:E17"/>
    <mergeCell ref="B10:E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8"/>
  <sheetViews>
    <sheetView showGridLines="0" tabSelected="1" workbookViewId="0">
      <pane ySplit="3" topLeftCell="A4" activePane="bottomLeft" state="frozen"/>
      <selection pane="bottomLeft" activeCell="D7" sqref="D7"/>
    </sheetView>
  </sheetViews>
  <sheetFormatPr baseColWidth="10" defaultColWidth="8.77734375" defaultRowHeight="14.4" x14ac:dyDescent="0.3"/>
  <cols>
    <col min="1" max="1" width="5" customWidth="1"/>
    <col min="2" max="2" width="16" customWidth="1"/>
    <col min="3" max="3" width="69.88671875" customWidth="1"/>
    <col min="4" max="4" width="28" customWidth="1"/>
    <col min="5" max="5" width="12" customWidth="1"/>
    <col min="6" max="6" width="26" customWidth="1"/>
    <col min="7" max="7" width="84.109375" customWidth="1"/>
    <col min="8" max="8" width="16" customWidth="1"/>
  </cols>
  <sheetData>
    <row r="1" spans="1:8" ht="31.95" customHeight="1" x14ac:dyDescent="0.3">
      <c r="A1" s="30" t="s">
        <v>16</v>
      </c>
      <c r="B1" s="22"/>
      <c r="C1" s="22"/>
      <c r="D1" s="22"/>
      <c r="E1" s="22"/>
      <c r="F1" s="22"/>
      <c r="G1" s="22"/>
      <c r="H1" s="22"/>
    </row>
    <row r="2" spans="1:8" ht="16.05" customHeight="1" x14ac:dyDescent="0.3">
      <c r="A2" s="29" t="s">
        <v>17</v>
      </c>
      <c r="B2" s="22"/>
      <c r="C2" s="22"/>
      <c r="D2" s="22"/>
      <c r="E2" s="22"/>
      <c r="F2" s="22"/>
      <c r="G2" s="22"/>
      <c r="H2" s="22"/>
    </row>
    <row r="3" spans="1:8" ht="31.95" customHeight="1" x14ac:dyDescent="0.3">
      <c r="A3" s="8" t="s">
        <v>18</v>
      </c>
      <c r="B3" s="8" t="s">
        <v>19</v>
      </c>
      <c r="C3" s="8" t="s">
        <v>20</v>
      </c>
      <c r="D3" s="8" t="s">
        <v>21</v>
      </c>
      <c r="E3" s="8" t="s">
        <v>22</v>
      </c>
      <c r="F3" s="8" t="s">
        <v>23</v>
      </c>
      <c r="G3" s="8" t="s">
        <v>24</v>
      </c>
      <c r="H3" s="8" t="s">
        <v>25</v>
      </c>
    </row>
    <row r="4" spans="1:8" ht="42" customHeight="1" x14ac:dyDescent="0.3">
      <c r="A4" s="2">
        <v>1</v>
      </c>
      <c r="B4" s="3" t="s">
        <v>41</v>
      </c>
      <c r="C4" s="3" t="s">
        <v>120</v>
      </c>
      <c r="D4" s="3" t="s">
        <v>110</v>
      </c>
      <c r="E4" s="4">
        <v>3</v>
      </c>
      <c r="F4" s="36" t="s">
        <v>131</v>
      </c>
      <c r="G4" s="3" t="s">
        <v>111</v>
      </c>
      <c r="H4" s="3" t="s">
        <v>119</v>
      </c>
    </row>
    <row r="5" spans="1:8" ht="42" customHeight="1" x14ac:dyDescent="0.3">
      <c r="A5" s="5">
        <v>2</v>
      </c>
      <c r="B5" s="1" t="s">
        <v>43</v>
      </c>
      <c r="C5" s="1" t="s">
        <v>122</v>
      </c>
      <c r="D5" s="1" t="s">
        <v>121</v>
      </c>
      <c r="E5" s="6">
        <v>3</v>
      </c>
      <c r="F5" s="36" t="s">
        <v>130</v>
      </c>
      <c r="G5" s="1" t="s">
        <v>112</v>
      </c>
      <c r="H5" s="3" t="s">
        <v>119</v>
      </c>
    </row>
    <row r="6" spans="1:8" ht="42" customHeight="1" x14ac:dyDescent="0.3">
      <c r="A6" s="2">
        <v>3</v>
      </c>
      <c r="B6" s="3" t="s">
        <v>43</v>
      </c>
      <c r="C6" s="3" t="s">
        <v>123</v>
      </c>
      <c r="D6" s="3" t="s">
        <v>121</v>
      </c>
      <c r="E6" s="4">
        <v>2</v>
      </c>
      <c r="F6" s="36" t="s">
        <v>129</v>
      </c>
      <c r="G6" s="3" t="s">
        <v>113</v>
      </c>
      <c r="H6" s="3" t="s">
        <v>119</v>
      </c>
    </row>
    <row r="7" spans="1:8" ht="42" customHeight="1" x14ac:dyDescent="0.3">
      <c r="A7" s="5">
        <v>4</v>
      </c>
      <c r="B7" s="1" t="s">
        <v>45</v>
      </c>
      <c r="C7" s="1" t="s">
        <v>124</v>
      </c>
      <c r="D7" s="1" t="s">
        <v>110</v>
      </c>
      <c r="E7" s="6">
        <v>2</v>
      </c>
      <c r="F7" s="36" t="s">
        <v>128</v>
      </c>
      <c r="G7" s="1" t="s">
        <v>114</v>
      </c>
      <c r="H7" s="3" t="s">
        <v>119</v>
      </c>
    </row>
    <row r="8" spans="1:8" ht="42" customHeight="1" x14ac:dyDescent="0.3">
      <c r="A8" s="2">
        <v>5</v>
      </c>
      <c r="B8" s="3" t="s">
        <v>47</v>
      </c>
      <c r="C8" s="3" t="s">
        <v>125</v>
      </c>
      <c r="D8" s="3" t="s">
        <v>110</v>
      </c>
      <c r="E8" s="4">
        <v>2</v>
      </c>
      <c r="F8" s="36" t="s">
        <v>126</v>
      </c>
      <c r="G8" s="3" t="s">
        <v>115</v>
      </c>
      <c r="H8" s="3" t="s">
        <v>119</v>
      </c>
    </row>
    <row r="9" spans="1:8" ht="42" customHeight="1" x14ac:dyDescent="0.3">
      <c r="A9" s="5">
        <v>6</v>
      </c>
      <c r="B9" s="1" t="s">
        <v>48</v>
      </c>
      <c r="C9" s="1" t="s">
        <v>116</v>
      </c>
      <c r="D9" s="1" t="s">
        <v>117</v>
      </c>
      <c r="E9" s="6">
        <v>1</v>
      </c>
      <c r="F9" s="36" t="s">
        <v>127</v>
      </c>
      <c r="G9" s="1" t="s">
        <v>118</v>
      </c>
      <c r="H9" s="3" t="s">
        <v>119</v>
      </c>
    </row>
    <row r="10" spans="1:8" ht="42" customHeight="1" x14ac:dyDescent="0.3">
      <c r="A10" s="2">
        <v>7</v>
      </c>
      <c r="B10" s="3"/>
      <c r="C10" s="3"/>
      <c r="D10" s="3"/>
      <c r="E10" s="4"/>
      <c r="F10" s="3"/>
      <c r="G10" s="3"/>
      <c r="H10" s="3"/>
    </row>
    <row r="11" spans="1:8" ht="42" customHeight="1" x14ac:dyDescent="0.3">
      <c r="A11" s="5">
        <v>8</v>
      </c>
      <c r="B11" s="1"/>
      <c r="C11" s="1"/>
      <c r="D11" s="1"/>
      <c r="E11" s="6"/>
      <c r="F11" s="1"/>
      <c r="G11" s="1"/>
      <c r="H11" s="1"/>
    </row>
    <row r="12" spans="1:8" ht="42" customHeight="1" x14ac:dyDescent="0.3">
      <c r="A12" s="2">
        <v>9</v>
      </c>
      <c r="B12" s="3"/>
      <c r="C12" s="3"/>
      <c r="D12" s="3"/>
      <c r="E12" s="4"/>
      <c r="F12" s="3"/>
      <c r="G12" s="3"/>
      <c r="H12" s="3"/>
    </row>
    <row r="13" spans="1:8" ht="42" customHeight="1" x14ac:dyDescent="0.3">
      <c r="A13" s="5">
        <v>10</v>
      </c>
      <c r="B13" s="1"/>
      <c r="C13" s="1"/>
      <c r="D13" s="1"/>
      <c r="E13" s="6"/>
      <c r="F13" s="1"/>
      <c r="G13" s="1"/>
      <c r="H13" s="1"/>
    </row>
    <row r="14" spans="1:8" ht="42" customHeight="1" x14ac:dyDescent="0.3">
      <c r="A14" s="2">
        <v>11</v>
      </c>
      <c r="B14" s="3"/>
      <c r="C14" s="3"/>
      <c r="D14" s="3"/>
      <c r="E14" s="4"/>
      <c r="F14" s="3"/>
      <c r="G14" s="3"/>
      <c r="H14" s="3"/>
    </row>
    <row r="15" spans="1:8" ht="42" customHeight="1" x14ac:dyDescent="0.3">
      <c r="A15" s="5">
        <v>12</v>
      </c>
      <c r="B15" s="1"/>
      <c r="C15" s="1"/>
      <c r="D15" s="1"/>
      <c r="E15" s="6"/>
      <c r="F15" s="1"/>
      <c r="G15" s="1"/>
      <c r="H15" s="1"/>
    </row>
    <row r="16" spans="1:8" ht="42" customHeight="1" x14ac:dyDescent="0.3">
      <c r="A16" s="2">
        <v>13</v>
      </c>
      <c r="B16" s="3"/>
      <c r="C16" s="3"/>
      <c r="D16" s="3"/>
      <c r="E16" s="4"/>
      <c r="F16" s="3"/>
      <c r="G16" s="3"/>
      <c r="H16" s="3"/>
    </row>
    <row r="17" spans="1:8" ht="42" customHeight="1" x14ac:dyDescent="0.3">
      <c r="A17" s="5">
        <v>14</v>
      </c>
      <c r="B17" s="1"/>
      <c r="C17" s="1"/>
      <c r="D17" s="1"/>
      <c r="E17" s="6"/>
      <c r="F17" s="1"/>
      <c r="G17" s="1"/>
      <c r="H17" s="1"/>
    </row>
    <row r="18" spans="1:8" ht="42" customHeight="1" x14ac:dyDescent="0.3">
      <c r="A18" s="2">
        <v>15</v>
      </c>
      <c r="B18" s="3"/>
      <c r="C18" s="3"/>
      <c r="D18" s="3"/>
      <c r="E18" s="4"/>
      <c r="F18" s="3"/>
      <c r="G18" s="3"/>
      <c r="H18" s="3"/>
    </row>
    <row r="19" spans="1:8" ht="42" customHeight="1" x14ac:dyDescent="0.3">
      <c r="A19" s="5">
        <v>16</v>
      </c>
      <c r="B19" s="1"/>
      <c r="C19" s="1"/>
      <c r="D19" s="1"/>
      <c r="E19" s="6"/>
      <c r="F19" s="1"/>
      <c r="G19" s="1"/>
      <c r="H19" s="1"/>
    </row>
    <row r="20" spans="1:8" ht="42" customHeight="1" x14ac:dyDescent="0.3">
      <c r="A20" s="2">
        <v>17</v>
      </c>
      <c r="B20" s="3"/>
      <c r="C20" s="3"/>
      <c r="D20" s="3"/>
      <c r="E20" s="4"/>
      <c r="F20" s="3"/>
      <c r="G20" s="3"/>
      <c r="H20" s="3"/>
    </row>
    <row r="21" spans="1:8" ht="42" customHeight="1" x14ac:dyDescent="0.3">
      <c r="A21" s="5">
        <v>18</v>
      </c>
      <c r="B21" s="1"/>
      <c r="C21" s="1"/>
      <c r="D21" s="1"/>
      <c r="E21" s="6"/>
      <c r="F21" s="1"/>
      <c r="G21" s="1"/>
      <c r="H21" s="1"/>
    </row>
    <row r="22" spans="1:8" ht="42" customHeight="1" x14ac:dyDescent="0.3">
      <c r="A22" s="2">
        <v>19</v>
      </c>
      <c r="B22" s="3"/>
      <c r="C22" s="3"/>
      <c r="D22" s="3"/>
      <c r="E22" s="4"/>
      <c r="F22" s="3"/>
      <c r="G22" s="3"/>
      <c r="H22" s="3"/>
    </row>
    <row r="23" spans="1:8" ht="42" customHeight="1" x14ac:dyDescent="0.3">
      <c r="A23" s="5">
        <v>20</v>
      </c>
      <c r="B23" s="1"/>
      <c r="C23" s="1"/>
      <c r="D23" s="1"/>
      <c r="E23" s="6"/>
      <c r="F23" s="1"/>
      <c r="G23" s="1"/>
      <c r="H23" s="1"/>
    </row>
    <row r="24" spans="1:8" ht="42" customHeight="1" x14ac:dyDescent="0.3">
      <c r="A24" s="2">
        <v>21</v>
      </c>
      <c r="B24" s="3"/>
      <c r="C24" s="3"/>
      <c r="D24" s="3"/>
      <c r="E24" s="4"/>
      <c r="F24" s="3"/>
      <c r="G24" s="3"/>
      <c r="H24" s="3"/>
    </row>
    <row r="25" spans="1:8" ht="42" customHeight="1" x14ac:dyDescent="0.3">
      <c r="A25" s="5">
        <v>22</v>
      </c>
      <c r="B25" s="1"/>
      <c r="C25" s="1"/>
      <c r="D25" s="1"/>
      <c r="E25" s="6"/>
      <c r="F25" s="1"/>
      <c r="G25" s="1"/>
      <c r="H25" s="1"/>
    </row>
    <row r="26" spans="1:8" ht="42" customHeight="1" x14ac:dyDescent="0.3">
      <c r="A26" s="2">
        <v>23</v>
      </c>
      <c r="B26" s="3"/>
      <c r="C26" s="3"/>
      <c r="D26" s="3"/>
      <c r="E26" s="4"/>
      <c r="F26" s="3"/>
      <c r="G26" s="3"/>
      <c r="H26" s="3"/>
    </row>
    <row r="27" spans="1:8" ht="42" customHeight="1" x14ac:dyDescent="0.3">
      <c r="A27" s="5">
        <v>24</v>
      </c>
      <c r="B27" s="1"/>
      <c r="C27" s="1"/>
      <c r="D27" s="1"/>
      <c r="E27" s="6"/>
      <c r="F27" s="1"/>
      <c r="G27" s="1"/>
      <c r="H27" s="1"/>
    </row>
    <row r="28" spans="1:8" ht="42" customHeight="1" x14ac:dyDescent="0.3">
      <c r="A28" s="2">
        <v>25</v>
      </c>
      <c r="B28" s="3"/>
      <c r="C28" s="3"/>
      <c r="D28" s="3"/>
      <c r="E28" s="4"/>
      <c r="F28" s="3"/>
      <c r="G28" s="3"/>
      <c r="H28" s="3"/>
    </row>
  </sheetData>
  <mergeCells count="2">
    <mergeCell ref="A2:H2"/>
    <mergeCell ref="A1:H1"/>
  </mergeCells>
  <conditionalFormatting sqref="E4:E28">
    <cfRule type="cellIs" dxfId="12" priority="1" operator="equal">
      <formula>0</formula>
    </cfRule>
    <cfRule type="cellIs" dxfId="11" priority="2" operator="equal">
      <formula>1</formula>
    </cfRule>
    <cfRule type="cellIs" dxfId="10" priority="3" operator="equal">
      <formula>2</formula>
    </cfRule>
    <cfRule type="cellIs" dxfId="9" priority="4" operator="equal">
      <formula>3</formula>
    </cfRule>
    <cfRule type="cellIs" dxfId="8" priority="5" operator="equal">
      <formula>4</formula>
    </cfRule>
  </conditionalFormatting>
  <dataValidations count="2">
    <dataValidation type="list" allowBlank="1" showErrorMessage="1" errorTitle="Valor invalido" error="Seleccione una heuristica de la lista." sqref="B4:B28" xr:uid="{00000000-0002-0000-0100-000000000000}">
      <formula1>_xlfn._LONGTEXT("H1 - Visibilidad del estado,H2 - Sistema y mundo real,H3 - Control y libertad,H4 - Consistencia y estandares,H5 - Prevencion de errores,H6 - Reconocimiento &gt; recuerdo,H7 - Flexibilidad y eficiencia,H8 - Diseno minimalista,H9 - Recuperacion de errores,H10 ","- Ayuda y documentacion")</formula1>
    </dataValidation>
    <dataValidation type="whole" allowBlank="1" showInputMessage="1" showErrorMessage="1" errorTitle="Severidad invalida" error="Ingrese un numero entre 0 y 4." promptTitle="Escala de severidad" prompt="0=No problema  1=Cosmético  2=Menor  3=Mayor  4=Catastrófico" sqref="E4:E28" xr:uid="{00000000-0002-0000-0100-000001000000}">
      <formula1>0</formula1>
      <formula2>4</formula2>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G22"/>
  <sheetViews>
    <sheetView showGridLines="0" topLeftCell="A4" workbookViewId="0">
      <selection activeCell="D18" sqref="D18"/>
    </sheetView>
  </sheetViews>
  <sheetFormatPr baseColWidth="10" defaultColWidth="8.77734375" defaultRowHeight="14.4" x14ac:dyDescent="0.3"/>
  <cols>
    <col min="1" max="1" width="3" customWidth="1"/>
    <col min="2" max="2" width="28" customWidth="1"/>
    <col min="3" max="5" width="14" customWidth="1"/>
    <col min="6" max="6" width="18" customWidth="1"/>
    <col min="7" max="7" width="20" customWidth="1"/>
  </cols>
  <sheetData>
    <row r="1" spans="2:7" ht="31.95" customHeight="1" x14ac:dyDescent="0.3">
      <c r="B1" s="30" t="s">
        <v>109</v>
      </c>
      <c r="C1" s="22"/>
      <c r="D1" s="22"/>
      <c r="E1" s="22"/>
      <c r="F1" s="22"/>
      <c r="G1" s="22"/>
    </row>
    <row r="2" spans="2:7" ht="16.05" customHeight="1" x14ac:dyDescent="0.3">
      <c r="B2" s="29" t="s">
        <v>26</v>
      </c>
      <c r="C2" s="22"/>
      <c r="D2" s="22"/>
      <c r="E2" s="22"/>
      <c r="F2" s="22"/>
      <c r="G2" s="22"/>
    </row>
    <row r="4" spans="2:7" ht="18" customHeight="1" x14ac:dyDescent="0.3">
      <c r="B4" s="34" t="s">
        <v>27</v>
      </c>
      <c r="C4" s="35"/>
      <c r="D4" s="35"/>
      <c r="E4" s="35"/>
      <c r="F4" s="35"/>
      <c r="G4" s="35"/>
    </row>
    <row r="5" spans="2:7" ht="22.05" customHeight="1" x14ac:dyDescent="0.3">
      <c r="B5" s="9" t="s">
        <v>28</v>
      </c>
      <c r="C5" s="31">
        <f>COUNTA(Evaluacion!C4:C28)</f>
        <v>6</v>
      </c>
      <c r="D5" s="24"/>
    </row>
    <row r="6" spans="2:7" ht="22.05" customHeight="1" x14ac:dyDescent="0.3">
      <c r="B6" s="9" t="s">
        <v>29</v>
      </c>
      <c r="C6" s="33">
        <f>IFERROR(AVERAGE(Evaluacion!E4:E28),0)</f>
        <v>2.1666666666666665</v>
      </c>
      <c r="D6" s="24"/>
    </row>
    <row r="7" spans="2:7" ht="22.05" customHeight="1" x14ac:dyDescent="0.3">
      <c r="B7" s="9" t="s">
        <v>30</v>
      </c>
      <c r="C7" s="31">
        <f>COUNTIF(Evaluacion!E4:E28,4)</f>
        <v>0</v>
      </c>
      <c r="D7" s="24"/>
    </row>
    <row r="8" spans="2:7" ht="22.05" customHeight="1" x14ac:dyDescent="0.3">
      <c r="B8" s="9" t="s">
        <v>31</v>
      </c>
      <c r="C8" s="31">
        <f>COUNTIF(Evaluacion!E4:E28,3)</f>
        <v>2</v>
      </c>
      <c r="D8" s="24"/>
    </row>
    <row r="9" spans="2:7" ht="22.05" customHeight="1" x14ac:dyDescent="0.3">
      <c r="B9" s="9" t="s">
        <v>32</v>
      </c>
      <c r="C9" s="31">
        <f>COUNTIFS(Evaluacion!E4:E28,"&gt;=1",Evaluacion!E4:E28,"&lt;=2")</f>
        <v>4</v>
      </c>
      <c r="D9" s="24"/>
    </row>
    <row r="11" spans="2:7" ht="18" customHeight="1" x14ac:dyDescent="0.3">
      <c r="B11" s="32" t="s">
        <v>33</v>
      </c>
      <c r="C11" s="22"/>
      <c r="D11" s="22"/>
      <c r="E11" s="22"/>
      <c r="F11" s="22"/>
      <c r="G11" s="22"/>
    </row>
    <row r="12" spans="2:7" ht="19.95" customHeight="1" x14ac:dyDescent="0.3">
      <c r="B12" s="8" t="s">
        <v>19</v>
      </c>
      <c r="C12" s="8" t="s">
        <v>34</v>
      </c>
      <c r="D12" s="8" t="s">
        <v>35</v>
      </c>
      <c r="E12" s="8" t="s">
        <v>36</v>
      </c>
      <c r="F12" s="8" t="s">
        <v>37</v>
      </c>
      <c r="G12" s="8" t="s">
        <v>38</v>
      </c>
    </row>
    <row r="13" spans="2:7" ht="19.95" customHeight="1" x14ac:dyDescent="0.3">
      <c r="B13" s="10" t="s">
        <v>39</v>
      </c>
      <c r="C13" s="16">
        <f>COUNTIF(Evaluacion!B4:B28,"H1 -*")</f>
        <v>0</v>
      </c>
      <c r="D13" s="16">
        <f ca="1">IFERROR(_xludf.MAXIFS(Evaluacion!E4:E28,Evaluacion!B4:B28,"*H1*"),0)</f>
        <v>0</v>
      </c>
      <c r="E13" s="11">
        <f>IFERROR(AVERAGEIF(Evaluacion!B4:B28,"*H1*",Evaluacion!E4:E28),0)</f>
        <v>1</v>
      </c>
      <c r="F13" s="12" t="str">
        <f t="shared" ref="F13:F22" si="0">IF(C13=0,"Sin problemas",IF(D13&gt;=4,"CRITICO",IF(D13&gt;=3,"MAYOR","MENOR")))</f>
        <v>Sin problemas</v>
      </c>
      <c r="G13" s="12" t="str">
        <f t="shared" ref="G13:G22" si="1">IF(C13=0,"Sin problemas",IF(D13=4,"1 - Inmediata",IF(D13=3,"2 - Alta",IF(D13=2,"3 - Media","4 - Baja"))))</f>
        <v>Sin problemas</v>
      </c>
    </row>
    <row r="14" spans="2:7" ht="19.95" customHeight="1" x14ac:dyDescent="0.3">
      <c r="B14" s="13" t="s">
        <v>40</v>
      </c>
      <c r="C14" s="17">
        <f>COUNTIF(Evaluacion!B4:B28,"*H2*")</f>
        <v>0</v>
      </c>
      <c r="D14" s="17">
        <f ca="1">IFERROR(_xludf.MAXIFS(Evaluacion!E4:E28,Evaluacion!B4:B28,"*H2*"),0)</f>
        <v>0</v>
      </c>
      <c r="E14" s="14">
        <f>IFERROR(AVERAGEIF(Evaluacion!B4:B28,"*H2*",Evaluacion!E4:E28),0)</f>
        <v>0</v>
      </c>
      <c r="F14" s="15" t="str">
        <f t="shared" si="0"/>
        <v>Sin problemas</v>
      </c>
      <c r="G14" s="15" t="str">
        <f t="shared" si="1"/>
        <v>Sin problemas</v>
      </c>
    </row>
    <row r="15" spans="2:7" ht="19.95" customHeight="1" x14ac:dyDescent="0.3">
      <c r="B15" s="10" t="s">
        <v>41</v>
      </c>
      <c r="C15" s="16">
        <f>COUNTIF(Evaluacion!B4:B28,"*H3*")</f>
        <v>1</v>
      </c>
      <c r="D15" s="16">
        <f ca="1">IFERROR(_xludf.MAXIFS(Evaluacion!E4:E28,Evaluacion!B4:B28,"*H3*"),0)</f>
        <v>0</v>
      </c>
      <c r="E15" s="11">
        <f>IFERROR(AVERAGEIF(Evaluacion!B4:B28,"*H3*",Evaluacion!E4:E28),0)</f>
        <v>3</v>
      </c>
      <c r="F15" s="12" t="str">
        <f t="shared" ca="1" si="0"/>
        <v>MENOR</v>
      </c>
      <c r="G15" s="12" t="str">
        <f t="shared" ca="1" si="1"/>
        <v>4 - Baja</v>
      </c>
    </row>
    <row r="16" spans="2:7" ht="19.95" customHeight="1" x14ac:dyDescent="0.3">
      <c r="B16" s="13" t="s">
        <v>42</v>
      </c>
      <c r="C16" s="17">
        <f>COUNTIF(Evaluacion!B4:B28,"*H4*")</f>
        <v>0</v>
      </c>
      <c r="D16" s="17">
        <f ca="1">IFERROR(_xludf.MAXIFS(Evaluacion!E4:E28,Evaluacion!B4:B28,"*H4*"),0)</f>
        <v>0</v>
      </c>
      <c r="E16" s="14">
        <f>IFERROR(AVERAGEIF(Evaluacion!B4:B28,"*H4*",Evaluacion!E4:E28),0)</f>
        <v>0</v>
      </c>
      <c r="F16" s="15" t="str">
        <f t="shared" si="0"/>
        <v>Sin problemas</v>
      </c>
      <c r="G16" s="15" t="str">
        <f t="shared" si="1"/>
        <v>Sin problemas</v>
      </c>
    </row>
    <row r="17" spans="2:7" ht="19.95" customHeight="1" x14ac:dyDescent="0.3">
      <c r="B17" s="10" t="s">
        <v>43</v>
      </c>
      <c r="C17" s="16">
        <f>COUNTIF(Evaluacion!B4:B28,"*H5*")</f>
        <v>2</v>
      </c>
      <c r="D17" s="16">
        <f ca="1">IFERROR(_xludf.MAXIFS(Evaluacion!E4:E28,Evaluacion!B4:B28,"*H5*"),0)</f>
        <v>0</v>
      </c>
      <c r="E17" s="11">
        <f>IFERROR(AVERAGEIF(Evaluacion!B4:B28,"*H5*",Evaluacion!E4:E28),0)</f>
        <v>2.5</v>
      </c>
      <c r="F17" s="12" t="str">
        <f t="shared" ca="1" si="0"/>
        <v>MENOR</v>
      </c>
      <c r="G17" s="12" t="str">
        <f t="shared" ca="1" si="1"/>
        <v>4 - Baja</v>
      </c>
    </row>
    <row r="18" spans="2:7" ht="19.95" customHeight="1" x14ac:dyDescent="0.3">
      <c r="B18" s="13" t="s">
        <v>44</v>
      </c>
      <c r="C18" s="17">
        <f>COUNTIF(Evaluacion!B4:B28,"*H6*")</f>
        <v>0</v>
      </c>
      <c r="D18" s="17">
        <f ca="1">IFERROR(_xludf.MAXIFS(Evaluacion!E4:E28,Evaluacion!B4:B28,"*H6*"),0)</f>
        <v>0</v>
      </c>
      <c r="E18" s="14">
        <f>IFERROR(AVERAGEIF(Evaluacion!B4:B28,"*H6*",Evaluacion!E4:E28),0)</f>
        <v>0</v>
      </c>
      <c r="F18" s="15" t="str">
        <f t="shared" si="0"/>
        <v>Sin problemas</v>
      </c>
      <c r="G18" s="15" t="str">
        <f t="shared" si="1"/>
        <v>Sin problemas</v>
      </c>
    </row>
    <row r="19" spans="2:7" ht="19.95" customHeight="1" x14ac:dyDescent="0.3">
      <c r="B19" s="10" t="s">
        <v>45</v>
      </c>
      <c r="C19" s="16">
        <f>COUNTIF(Evaluacion!B4:B28,"*H7*")</f>
        <v>1</v>
      </c>
      <c r="D19" s="16">
        <f ca="1">IFERROR(_xludf.MAXIFS(Evaluacion!E4:E28,Evaluacion!B4:B28,"*H7*"),0)</f>
        <v>0</v>
      </c>
      <c r="E19" s="11">
        <f>IFERROR(AVERAGEIF(Evaluacion!B4:B28,"*H7*",Evaluacion!E4:E28),0)</f>
        <v>2</v>
      </c>
      <c r="F19" s="12" t="str">
        <f t="shared" ca="1" si="0"/>
        <v>MENOR</v>
      </c>
      <c r="G19" s="12" t="str">
        <f t="shared" ca="1" si="1"/>
        <v>4 - Baja</v>
      </c>
    </row>
    <row r="20" spans="2:7" ht="19.95" customHeight="1" x14ac:dyDescent="0.3">
      <c r="B20" s="13" t="s">
        <v>46</v>
      </c>
      <c r="C20" s="17">
        <f>COUNTIF(Evaluacion!B4:B28,"*H8*")</f>
        <v>0</v>
      </c>
      <c r="D20" s="17">
        <f ca="1">IFERROR(_xludf.MAXIFS(Evaluacion!E4:E28,Evaluacion!B4:B28,"*H8*"),0)</f>
        <v>0</v>
      </c>
      <c r="E20" s="14">
        <f>IFERROR(AVERAGEIF(Evaluacion!B4:B28,"*H8*",Evaluacion!E4:E28),0)</f>
        <v>0</v>
      </c>
      <c r="F20" s="15" t="str">
        <f t="shared" si="0"/>
        <v>Sin problemas</v>
      </c>
      <c r="G20" s="15" t="str">
        <f t="shared" si="1"/>
        <v>Sin problemas</v>
      </c>
    </row>
    <row r="21" spans="2:7" ht="19.95" customHeight="1" x14ac:dyDescent="0.3">
      <c r="B21" s="10" t="s">
        <v>47</v>
      </c>
      <c r="C21" s="16">
        <f>COUNTIF(Evaluacion!B4:B28,"*H9*")</f>
        <v>1</v>
      </c>
      <c r="D21" s="16">
        <f ca="1">IFERROR(_xludf.MAXIFS(Evaluacion!E4:E28,Evaluacion!B4:B28,"*H9*"),0)</f>
        <v>0</v>
      </c>
      <c r="E21" s="11">
        <f>IFERROR(AVERAGEIF(Evaluacion!B4:B28,"*H9*",Evaluacion!E4:E28),0)</f>
        <v>2</v>
      </c>
      <c r="F21" s="12" t="str">
        <f t="shared" ca="1" si="0"/>
        <v>MENOR</v>
      </c>
      <c r="G21" s="12" t="str">
        <f t="shared" ca="1" si="1"/>
        <v>4 - Baja</v>
      </c>
    </row>
    <row r="22" spans="2:7" ht="19.95" customHeight="1" x14ac:dyDescent="0.3">
      <c r="B22" s="13" t="s">
        <v>48</v>
      </c>
      <c r="C22" s="17">
        <f>COUNTIF(Evaluacion!B4:B28,"*H10*")</f>
        <v>1</v>
      </c>
      <c r="D22" s="17">
        <f ca="1">IFERROR(_xludf.MAXIFS(Evaluacion!E4:E28,Evaluacion!B4:B28,"*H10*"),0)</f>
        <v>0</v>
      </c>
      <c r="E22" s="14">
        <f>IFERROR(AVERAGEIF(Evaluacion!B4:B28,"*H10*",Evaluacion!E4:E28),0)</f>
        <v>1</v>
      </c>
      <c r="F22" s="15" t="str">
        <f t="shared" ca="1" si="0"/>
        <v>MENOR</v>
      </c>
      <c r="G22" s="15" t="str">
        <f t="shared" ca="1" si="1"/>
        <v>4 - Baja</v>
      </c>
    </row>
  </sheetData>
  <mergeCells count="9">
    <mergeCell ref="B1:G1"/>
    <mergeCell ref="B4:G4"/>
    <mergeCell ref="C9:D9"/>
    <mergeCell ref="C8:D8"/>
    <mergeCell ref="B11:G11"/>
    <mergeCell ref="B2:G2"/>
    <mergeCell ref="C6:D6"/>
    <mergeCell ref="C7:D7"/>
    <mergeCell ref="C5:D5"/>
  </mergeCells>
  <conditionalFormatting sqref="F13:F22">
    <cfRule type="cellIs" dxfId="7" priority="1" operator="equal">
      <formula>"CRITICO"</formula>
    </cfRule>
    <cfRule type="cellIs" dxfId="6" priority="2" operator="equal">
      <formula>"MAYOR"</formula>
    </cfRule>
    <cfRule type="cellIs" dxfId="5" priority="3" operator="equal">
      <formula>"Sin problemas"</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F13"/>
  <sheetViews>
    <sheetView showGridLines="0" workbookViewId="0">
      <selection activeCell="C4" sqref="C4"/>
    </sheetView>
  </sheetViews>
  <sheetFormatPr baseColWidth="10" defaultColWidth="8.77734375" defaultRowHeight="14.4" x14ac:dyDescent="0.3"/>
  <cols>
    <col min="1" max="1" width="3" customWidth="1"/>
    <col min="2" max="2" width="7" customWidth="1"/>
    <col min="3" max="3" width="26" customWidth="1"/>
    <col min="4" max="4" width="38" customWidth="1"/>
    <col min="5" max="5" width="32" customWidth="1"/>
    <col min="6" max="6" width="28" customWidth="1"/>
  </cols>
  <sheetData>
    <row r="1" spans="2:6" ht="31.95" customHeight="1" x14ac:dyDescent="0.3">
      <c r="B1" s="30" t="s">
        <v>49</v>
      </c>
      <c r="C1" s="22"/>
      <c r="D1" s="22"/>
      <c r="E1" s="22"/>
      <c r="F1" s="22"/>
    </row>
    <row r="2" spans="2:6" ht="16.05" customHeight="1" x14ac:dyDescent="0.3">
      <c r="B2" s="29" t="s">
        <v>50</v>
      </c>
      <c r="C2" s="22"/>
      <c r="D2" s="22"/>
      <c r="E2" s="22"/>
      <c r="F2" s="22"/>
    </row>
    <row r="3" spans="2:6" ht="22.05" customHeight="1" x14ac:dyDescent="0.3">
      <c r="B3" s="8" t="s">
        <v>18</v>
      </c>
      <c r="C3" s="8" t="s">
        <v>19</v>
      </c>
      <c r="D3" s="8" t="s">
        <v>51</v>
      </c>
      <c r="E3" s="8" t="s">
        <v>52</v>
      </c>
      <c r="F3" s="8" t="s">
        <v>53</v>
      </c>
    </row>
    <row r="4" spans="2:6" ht="58.05" customHeight="1" x14ac:dyDescent="0.3">
      <c r="B4" s="18" t="s">
        <v>54</v>
      </c>
      <c r="C4" s="19" t="s">
        <v>55</v>
      </c>
      <c r="D4" s="20" t="s">
        <v>56</v>
      </c>
      <c r="E4" s="20" t="s">
        <v>57</v>
      </c>
      <c r="F4" s="20" t="s">
        <v>58</v>
      </c>
    </row>
    <row r="5" spans="2:6" ht="58.05" customHeight="1" x14ac:dyDescent="0.3">
      <c r="B5" s="18" t="s">
        <v>59</v>
      </c>
      <c r="C5" s="19" t="s">
        <v>60</v>
      </c>
      <c r="D5" s="20" t="s">
        <v>61</v>
      </c>
      <c r="E5" s="20" t="s">
        <v>62</v>
      </c>
      <c r="F5" s="20" t="s">
        <v>63</v>
      </c>
    </row>
    <row r="6" spans="2:6" ht="58.05" customHeight="1" x14ac:dyDescent="0.3">
      <c r="B6" s="18" t="s">
        <v>64</v>
      </c>
      <c r="C6" s="19" t="s">
        <v>65</v>
      </c>
      <c r="D6" s="20" t="s">
        <v>66</v>
      </c>
      <c r="E6" s="20" t="s">
        <v>67</v>
      </c>
      <c r="F6" s="20" t="s">
        <v>68</v>
      </c>
    </row>
    <row r="7" spans="2:6" ht="58.05" customHeight="1" x14ac:dyDescent="0.3">
      <c r="B7" s="18" t="s">
        <v>69</v>
      </c>
      <c r="C7" s="19" t="s">
        <v>70</v>
      </c>
      <c r="D7" s="20" t="s">
        <v>71</v>
      </c>
      <c r="E7" s="20" t="s">
        <v>72</v>
      </c>
      <c r="F7" s="20" t="s">
        <v>73</v>
      </c>
    </row>
    <row r="8" spans="2:6" ht="58.05" customHeight="1" x14ac:dyDescent="0.3">
      <c r="B8" s="18" t="s">
        <v>74</v>
      </c>
      <c r="C8" s="19" t="s">
        <v>75</v>
      </c>
      <c r="D8" s="20" t="s">
        <v>76</v>
      </c>
      <c r="E8" s="20" t="s">
        <v>77</v>
      </c>
      <c r="F8" s="20" t="s">
        <v>78</v>
      </c>
    </row>
    <row r="9" spans="2:6" ht="58.05" customHeight="1" x14ac:dyDescent="0.3">
      <c r="B9" s="18" t="s">
        <v>79</v>
      </c>
      <c r="C9" s="19" t="s">
        <v>80</v>
      </c>
      <c r="D9" s="20" t="s">
        <v>81</v>
      </c>
      <c r="E9" s="20" t="s">
        <v>82</v>
      </c>
      <c r="F9" s="20" t="s">
        <v>83</v>
      </c>
    </row>
    <row r="10" spans="2:6" ht="58.05" customHeight="1" x14ac:dyDescent="0.3">
      <c r="B10" s="18" t="s">
        <v>84</v>
      </c>
      <c r="C10" s="19" t="s">
        <v>85</v>
      </c>
      <c r="D10" s="20" t="s">
        <v>86</v>
      </c>
      <c r="E10" s="20" t="s">
        <v>87</v>
      </c>
      <c r="F10" s="20" t="s">
        <v>88</v>
      </c>
    </row>
    <row r="11" spans="2:6" ht="58.05" customHeight="1" x14ac:dyDescent="0.3">
      <c r="B11" s="18" t="s">
        <v>89</v>
      </c>
      <c r="C11" s="19" t="s">
        <v>90</v>
      </c>
      <c r="D11" s="20" t="s">
        <v>91</v>
      </c>
      <c r="E11" s="20" t="s">
        <v>92</v>
      </c>
      <c r="F11" s="20" t="s">
        <v>93</v>
      </c>
    </row>
    <row r="12" spans="2:6" ht="58.05" customHeight="1" x14ac:dyDescent="0.3">
      <c r="B12" s="18" t="s">
        <v>94</v>
      </c>
      <c r="C12" s="19" t="s">
        <v>95</v>
      </c>
      <c r="D12" s="20" t="s">
        <v>96</v>
      </c>
      <c r="E12" s="20" t="s">
        <v>97</v>
      </c>
      <c r="F12" s="20" t="s">
        <v>98</v>
      </c>
    </row>
    <row r="13" spans="2:6" ht="58.05" customHeight="1" x14ac:dyDescent="0.3">
      <c r="B13" s="18" t="s">
        <v>99</v>
      </c>
      <c r="C13" s="19" t="s">
        <v>100</v>
      </c>
      <c r="D13" s="20" t="s">
        <v>101</v>
      </c>
      <c r="E13" s="20" t="s">
        <v>102</v>
      </c>
      <c r="F13" s="20" t="s">
        <v>103</v>
      </c>
    </row>
  </sheetData>
  <mergeCells count="2">
    <mergeCell ref="B2:F2"/>
    <mergeCell ref="B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Instrucciones</vt:lpstr>
      <vt:lpstr>Evaluacion</vt:lpstr>
      <vt:lpstr>Resumen</vt:lpstr>
      <vt:lpstr>Referencia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benjamin perez henriquez</cp:lastModifiedBy>
  <dcterms:created xsi:type="dcterms:W3CDTF">2026-06-12T14:00:04Z</dcterms:created>
  <dcterms:modified xsi:type="dcterms:W3CDTF">2026-07-10T05:49:09Z</dcterms:modified>
</cp:coreProperties>
</file>