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7f5a15569621fc/Escritorio/"/>
    </mc:Choice>
  </mc:AlternateContent>
  <xr:revisionPtr revIDLastSave="0" documentId="8_{D5AF77F3-C6F8-4119-AF36-A67F28220E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rta Gantt" sheetId="1" r:id="rId1"/>
    <sheet name="Costos Profesional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</calcChain>
</file>

<file path=xl/sharedStrings.xml><?xml version="1.0" encoding="utf-8"?>
<sst xmlns="http://schemas.openxmlformats.org/spreadsheetml/2006/main" count="282" uniqueCount="144">
  <si>
    <t>EDT</t>
  </si>
  <si>
    <t>Fase</t>
  </si>
  <si>
    <t>Actividad</t>
  </si>
  <si>
    <t>Semana inicio</t>
  </si>
  <si>
    <t>Semana fin</t>
  </si>
  <si>
    <t>Duración (semanas)</t>
  </si>
  <si>
    <t>Profesional responsable</t>
  </si>
  <si>
    <t>Horas estimadas</t>
  </si>
  <si>
    <t>Costo hora (CLP)</t>
  </si>
  <si>
    <t>Costo actividad (CLP)</t>
  </si>
  <si>
    <t>% Avance</t>
  </si>
  <si>
    <t>Estado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</si>
  <si>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</si>
  <si>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</si>
  <si>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</si>
  <si>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</si>
  <si>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</si>
  <si>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</si>
  <si>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</si>
  <si>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</si>
  <si>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</si>
  <si>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</si>
  <si>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</si>
  <si>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</si>
  <si>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</si>
  <si>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</si>
  <si>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</si>
  <si>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</si>
  <si>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</si>
  <si>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</si>
  <si>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1.1</t>
  </si>
  <si>
    <t>Inicio y planificación</t>
  </si>
  <si>
    <t>Analizar caso Edificio El Mirador y definir alcance</t>
  </si>
  <si>
    <t>Jefe de Proyecto TI</t>
  </si>
  <si>
    <t>Completado</t>
  </si>
  <si>
    <t>■</t>
  </si>
  <si>
    <t>1.2</t>
  </si>
  <si>
    <t>Definir metodología, hitos y estructura de entregables</t>
  </si>
  <si>
    <t>1.3</t>
  </si>
  <si>
    <t>Construir EDT y planificación inicial</t>
  </si>
  <si>
    <t>2.1</t>
  </si>
  <si>
    <t>Requisitos</t>
  </si>
  <si>
    <t>Preparar cuestionario de levantamiento</t>
  </si>
  <si>
    <t>Analista de Sistemas / Requisitos</t>
  </si>
  <si>
    <t>2.2</t>
  </si>
  <si>
    <t>Identificar y documentar requerimientos funcionales</t>
  </si>
  <si>
    <t>2.3</t>
  </si>
  <si>
    <t>Identificar y documentar requerimientos no funcionales</t>
  </si>
  <si>
    <t>2.4</t>
  </si>
  <si>
    <t>Revisar, priorizar y consolidar planilla de requisitos</t>
  </si>
  <si>
    <t>3.1</t>
  </si>
  <si>
    <t>Arquitectura y UML</t>
  </si>
  <si>
    <t>Definir arquitectura monolítica en capas y patrones MVC/Repository</t>
  </si>
  <si>
    <t>Arquitecto de Software</t>
  </si>
  <si>
    <t>3.2</t>
  </si>
  <si>
    <t>Elaborar diagrama general de casos de uso</t>
  </si>
  <si>
    <t>3.3</t>
  </si>
  <si>
    <t>Elaborar caso de uso específico RF-04 Gestión de Residentes</t>
  </si>
  <si>
    <t>3.4</t>
  </si>
  <si>
    <t>Elaborar diagrama de clases</t>
  </si>
  <si>
    <t>3.5</t>
  </si>
  <si>
    <t>Elaborar diagramas de componentes y paquetes</t>
  </si>
  <si>
    <t>3.6</t>
  </si>
  <si>
    <t>Elaborar diagrama de actividad</t>
  </si>
  <si>
    <t>3.7</t>
  </si>
  <si>
    <t>Elaborar diagrama de despliegue</t>
  </si>
  <si>
    <t>3.8</t>
  </si>
  <si>
    <t>Revisar coherencia del modelo 4+1</t>
  </si>
  <si>
    <t>4.1</t>
  </si>
  <si>
    <t>Prototipado UX/UI</t>
  </si>
  <si>
    <t>Definir flujo del módulo Gestión de Residentes</t>
  </si>
  <si>
    <t>Diseñador UX/UI</t>
  </si>
  <si>
    <t>4.2</t>
  </si>
  <si>
    <t>Diseñar prototipo de alta fidelidad v1.0 en Figma</t>
  </si>
  <si>
    <t>4.3</t>
  </si>
  <si>
    <t>Configurar navegación e interacciones del prototipo</t>
  </si>
  <si>
    <t>4.4</t>
  </si>
  <si>
    <t>Evaluar heurísticas de Nielsen y registrar hallazgos</t>
  </si>
  <si>
    <t>QA Tester</t>
  </si>
  <si>
    <t>4.5</t>
  </si>
  <si>
    <t>Aplicar mejoras y generar prototipo v2.0</t>
  </si>
  <si>
    <t>4.6</t>
  </si>
  <si>
    <t>Capturar evidencias de versiones y aceptación final</t>
  </si>
  <si>
    <t>Documentador Técnico</t>
  </si>
  <si>
    <t>5.1</t>
  </si>
  <si>
    <t>Pruebas y calidad</t>
  </si>
  <si>
    <t>Diseñar plan y casos de prueba</t>
  </si>
  <si>
    <t>5.2</t>
  </si>
  <si>
    <t>Ejecutar pruebas funcionales del módulo de residentes</t>
  </si>
  <si>
    <t>5.3</t>
  </si>
  <si>
    <t>Registrar resultados y evidencias de pruebas</t>
  </si>
  <si>
    <t>5.4</t>
  </si>
  <si>
    <t>Consolidar criterios ISO/IEC 25010 y Nielsen</t>
  </si>
  <si>
    <t>6.1</t>
  </si>
  <si>
    <t>Documentación final</t>
  </si>
  <si>
    <t>Completar DAS: principios, prototipo, Nielsen y versiones</t>
  </si>
  <si>
    <t>6.2</t>
  </si>
  <si>
    <t>Preparar Carta Gantt, planilla de requisitos y anexos</t>
  </si>
  <si>
    <t>6.3</t>
  </si>
  <si>
    <t>Consolidar control de versiones y aceptación final</t>
  </si>
  <si>
    <t>6.4</t>
  </si>
  <si>
    <t>Preparar presentación final PowerPoint</t>
  </si>
  <si>
    <t>6.5</t>
  </si>
  <si>
    <t>Revisar coherencia entre requisitos, diagramas, prototipo y pruebas</t>
  </si>
  <si>
    <t>6.6</t>
  </si>
  <si>
    <t>Armar estructura ZIP/GitHub, README y revisión final</t>
  </si>
  <si>
    <t>COSTOS PROFESIONALES DE REFERENCIA — CHILE 2026</t>
  </si>
  <si>
    <t>Rol profesional</t>
  </si>
  <si>
    <t>Sueldo mensual ref. (CLP)</t>
  </si>
  <si>
    <t>Horas/mes supuestas</t>
  </si>
  <si>
    <t>Costo hora calculado (CLP)</t>
  </si>
  <si>
    <t>Fuente</t>
  </si>
  <si>
    <t>URL</t>
  </si>
  <si>
    <t>Criterio</t>
  </si>
  <si>
    <t>Detalle</t>
  </si>
  <si>
    <t>Indeed Chile</t>
  </si>
  <si>
    <t>https://cl.indeed.com/career/jefe-de-proyectos-ti/salaries/Santiago-de-Chile--Regi%C3%B3n-Metropolitana</t>
  </si>
  <si>
    <t>Conversión mensual a hora</t>
  </si>
  <si>
    <t>Sueldo mensual / 180 horas. Supuesto académico equivalente a 45 h/semana aprox. por 4 semanas.</t>
  </si>
  <si>
    <t>Computrabajo Chile</t>
  </si>
  <si>
    <t>https://cl.computrabajo.com/salarios/analista-de-sistemas</t>
  </si>
  <si>
    <t>Se usa el punto medio del rango salarial 2026 de Robert Half.</t>
  </si>
  <si>
    <t>Robert Half Chile</t>
  </si>
  <si>
    <t>https://www.roberthalf.com/cl/es/vacantes-detalles/arquitecto-de-software</t>
  </si>
  <si>
    <t>Se usa el punto medio del rango junior informado para 2026.</t>
  </si>
  <si>
    <t>Coderhouse</t>
  </si>
  <si>
    <t>https://www.coderhouse.com/sueldos/sueldo-disenador-ux-ui-chile-2025</t>
  </si>
  <si>
    <t>Se usa el extremo inferior del rango publicado para mantener una estimación conservadora.</t>
  </si>
  <si>
    <t>https://cl.computrabajo.com/salarios/tester-qa</t>
  </si>
  <si>
    <t>Paylab Chile</t>
  </si>
  <si>
    <t>https://www.paylab.com/cl/salarios/tecnologias-de-la-informacion/escritor-tecnico-technical-writer?lang=es</t>
  </si>
  <si>
    <t>RESUMEN DE PLANIFICACIÓN Y COSTOS — EL MIRADOR</t>
  </si>
  <si>
    <t>Indicador</t>
  </si>
  <si>
    <t>Valor</t>
  </si>
  <si>
    <t>Profesional</t>
  </si>
  <si>
    <t>Horas</t>
  </si>
  <si>
    <t>Costo total (CLP)</t>
  </si>
  <si>
    <t>Inicio</t>
  </si>
  <si>
    <t>Semana 1</t>
  </si>
  <si>
    <t>Fin</t>
  </si>
  <si>
    <t>Semana 18</t>
  </si>
  <si>
    <t>Total actividades</t>
  </si>
  <si>
    <t>Horas profesionales estimadas</t>
  </si>
  <si>
    <t>Costo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</si>
</sst>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CLP&quot;"/>
    <numFmt numFmtId="165" formatCode="#,##0\ &quot;CLP/h&quot;"/>
    <numFmt numFmtId="166" formatCode="dd\-mm\-yyyy"/>
    <numFmt numFmtId="167" formatCode="dd\-mmm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theme="0"/>
      <name val="Carlito"/>
    </font>
    <font>
      <u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2" fillId="11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9" fontId="0" fillId="5" borderId="0" xfId="0" applyNumberForma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9" fontId="0" fillId="6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9" fontId="0" fillId="7" borderId="0" xfId="0" applyNumberFormat="1" applyFill="1" applyAlignment="1">
      <alignment vertical="center" wrapText="1"/>
    </xf>
    <xf numFmtId="0" fontId="0" fillId="8" borderId="0" xfId="0" applyFill="1" applyAlignment="1">
      <alignment vertical="center" wrapText="1"/>
    </xf>
    <xf numFmtId="9" fontId="0" fillId="8" borderId="0" xfId="0" applyNumberFormat="1" applyFill="1" applyAlignment="1">
      <alignment vertical="center" wrapText="1"/>
    </xf>
    <xf numFmtId="0" fontId="0" fillId="9" borderId="0" xfId="0" applyFill="1" applyAlignment="1">
      <alignment vertical="center" wrapText="1"/>
    </xf>
    <xf numFmtId="9" fontId="0" fillId="9" borderId="0" xfId="0" applyNumberFormat="1" applyFill="1" applyAlignment="1">
      <alignment vertical="center" wrapText="1"/>
    </xf>
    <xf numFmtId="0" fontId="0" fillId="10" borderId="0" xfId="0" applyFill="1" applyAlignment="1">
      <alignment vertical="center" wrapText="1"/>
    </xf>
    <xf numFmtId="9" fontId="0" fillId="10" borderId="0" xfId="0" applyNumberFormat="1" applyFill="1" applyAlignment="1">
      <alignment vertical="center" wrapText="1"/>
    </xf>
    <xf numFmtId="1" fontId="0" fillId="5" borderId="0" xfId="0" applyNumberFormat="1" applyFill="1" applyAlignment="1">
      <alignment vertical="center" wrapText="1"/>
    </xf>
    <xf numFmtId="1" fontId="0" fillId="6" borderId="0" xfId="0" applyNumberFormat="1" applyFill="1" applyAlignment="1">
      <alignment vertical="center" wrapText="1"/>
    </xf>
    <xf numFmtId="1" fontId="0" fillId="7" borderId="0" xfId="0" applyNumberFormat="1" applyFill="1" applyAlignment="1">
      <alignment vertical="center" wrapText="1"/>
    </xf>
    <xf numFmtId="1" fontId="0" fillId="8" borderId="0" xfId="0" applyNumberFormat="1" applyFill="1" applyAlignment="1">
      <alignment vertical="center" wrapText="1"/>
    </xf>
    <xf numFmtId="1" fontId="0" fillId="9" borderId="0" xfId="0" applyNumberFormat="1" applyFill="1" applyAlignment="1">
      <alignment vertical="center" wrapText="1"/>
    </xf>
    <xf numFmtId="1" fontId="0" fillId="10" borderId="0" xfId="0" applyNumberFormat="1" applyFill="1" applyAlignment="1">
      <alignment vertical="center" wrapText="1"/>
    </xf>
    <xf numFmtId="3" fontId="0" fillId="5" borderId="0" xfId="0" applyNumberFormat="1" applyFill="1" applyAlignment="1">
      <alignment vertical="center" wrapText="1"/>
    </xf>
    <xf numFmtId="3" fontId="0" fillId="6" borderId="0" xfId="0" applyNumberFormat="1" applyFill="1" applyAlignment="1">
      <alignment vertical="center" wrapText="1"/>
    </xf>
    <xf numFmtId="3" fontId="0" fillId="7" borderId="0" xfId="0" applyNumberFormat="1" applyFill="1" applyAlignment="1">
      <alignment vertical="center" wrapText="1"/>
    </xf>
    <xf numFmtId="3" fontId="0" fillId="8" borderId="0" xfId="0" applyNumberFormat="1" applyFill="1" applyAlignment="1">
      <alignment vertical="center" wrapText="1"/>
    </xf>
    <xf numFmtId="3" fontId="0" fillId="9" borderId="0" xfId="0" applyNumberFormat="1" applyFill="1" applyAlignment="1">
      <alignment vertical="center" wrapText="1"/>
    </xf>
    <xf numFmtId="3" fontId="0" fillId="10" borderId="0" xfId="0" applyNumberFormat="1" applyFill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167" fontId="2" fillId="11" borderId="2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1" fontId="0" fillId="10" borderId="7" xfId="0" applyNumberFormat="1" applyFill="1" applyBorder="1" applyAlignment="1">
      <alignment vertical="center" wrapText="1"/>
    </xf>
    <xf numFmtId="3" fontId="0" fillId="10" borderId="7" xfId="0" applyNumberFormat="1" applyFill="1" applyBorder="1" applyAlignment="1">
      <alignment vertical="center" wrapText="1"/>
    </xf>
    <xf numFmtId="9" fontId="0" fillId="10" borderId="7" xfId="0" applyNumberForma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wrapText="1"/>
    </xf>
    <xf numFmtId="0" fontId="0" fillId="5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0" fillId="8" borderId="0" xfId="0" applyFont="1" applyFill="1" applyAlignment="1">
      <alignment vertical="center" wrapText="1"/>
    </xf>
    <xf numFmtId="0" fontId="0" fillId="9" borderId="0" xfId="0" applyFont="1" applyFill="1" applyAlignment="1">
      <alignment vertical="center" wrapText="1"/>
    </xf>
    <xf numFmtId="0" fontId="0" fillId="10" borderId="0" xfId="0" applyFont="1" applyFill="1" applyAlignment="1">
      <alignment vertical="center" wrapText="1"/>
    </xf>
    <xf numFmtId="0" fontId="0" fillId="10" borderId="7" xfId="0" applyFont="1" applyFill="1" applyBorder="1" applyAlignment="1">
      <alignment vertical="center" wrapText="1"/>
    </xf>
    <xf numFmtId="0" fontId="0" fillId="5" borderId="4" xfId="0" applyFont="1" applyFill="1" applyBorder="1" applyAlignment="1">
      <alignment vertical="center" wrapText="1"/>
    </xf>
    <xf numFmtId="0" fontId="0" fillId="6" borderId="4" xfId="0" applyFont="1" applyFill="1" applyBorder="1" applyAlignment="1">
      <alignment vertical="center" wrapText="1"/>
    </xf>
    <xf numFmtId="0" fontId="0" fillId="7" borderId="4" xfId="0" applyFont="1" applyFill="1" applyBorder="1" applyAlignment="1">
      <alignment vertical="center" wrapText="1"/>
    </xf>
    <xf numFmtId="0" fontId="0" fillId="8" borderId="4" xfId="0" applyFont="1" applyFill="1" applyBorder="1" applyAlignment="1">
      <alignment vertical="center" wrapText="1"/>
    </xf>
    <xf numFmtId="0" fontId="0" fillId="9" borderId="4" xfId="0" applyFont="1" applyFill="1" applyBorder="1" applyAlignment="1">
      <alignment vertical="center" wrapText="1"/>
    </xf>
    <xf numFmtId="0" fontId="0" fillId="10" borderId="4" xfId="0" applyFont="1" applyFill="1" applyBorder="1" applyAlignment="1">
      <alignment vertical="center" wrapText="1"/>
    </xf>
    <xf numFmtId="0" fontId="0" fillId="10" borderId="6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5">
    <dxf>
      <font>
        <b/>
        <color rgb="FF5B9BD5"/>
      </font>
      <fill>
        <patternFill patternType="solid">
          <bgColor rgb="FF5B9BD5"/>
        </patternFill>
      </fill>
    </dxf>
    <dxf>
      <font>
        <color rgb="FF4472C4"/>
      </font>
      <fill>
        <patternFill>
          <bgColor rgb="FF4472C4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="77" workbookViewId="0">
      <selection activeCell="C35" sqref="C35"/>
    </sheetView>
  </sheetViews>
  <sheetFormatPr baseColWidth="10" defaultColWidth="8.796875" defaultRowHeight="13.8"/>
  <cols>
    <col min="1" max="1" width="8" customWidth="1"/>
    <col min="2" max="2" width="22" customWidth="1"/>
    <col min="3" max="3" width="48" customWidth="1"/>
    <col min="4" max="6" width="13" customWidth="1"/>
    <col min="7" max="7" width="28" customWidth="1"/>
    <col min="8" max="8" width="13" customWidth="1"/>
    <col min="9" max="10" width="17" customWidth="1"/>
    <col min="11" max="11" width="11" customWidth="1"/>
    <col min="12" max="12" width="14" customWidth="1"/>
    <col min="13" max="30" width="5" customWidth="1"/>
  </cols>
  <sheetData>
    <row r="1" spans="1:30" ht="27.6">
      <c r="A1" s="63" t="s">
        <v>0</v>
      </c>
      <c r="B1" s="6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4" t="s">
        <v>26</v>
      </c>
      <c r="AB1" s="34" t="s">
        <v>27</v>
      </c>
      <c r="AC1" s="34" t="s">
        <v>28</v>
      </c>
      <c r="AD1" s="36" t="s">
        <v>29</v>
      </c>
    </row>
    <row r="2" spans="1:30">
      <c r="A2" s="56" t="s">
        <v>30</v>
      </c>
      <c r="B2" s="49" t="s">
        <v>31</v>
      </c>
      <c r="C2" s="8" t="s">
        <v>32</v>
      </c>
      <c r="D2" s="22">
        <v>1</v>
      </c>
      <c r="E2" s="22">
        <v>1</v>
      </c>
      <c r="F2" s="22">
        <v>1</v>
      </c>
      <c r="G2" s="8" t="s">
        <v>33</v>
      </c>
      <c r="H2" s="22">
        <v>12</v>
      </c>
      <c r="I2" s="28">
        <v>11372.05</v>
      </c>
      <c r="J2" s="28">
        <v>136464.59999999998</v>
      </c>
      <c r="K2" s="9">
        <v>1</v>
      </c>
      <c r="L2" s="8" t="s">
        <v>34</v>
      </c>
      <c r="M2" s="10" t="s">
        <v>35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  <c r="AB2" s="11"/>
      <c r="AC2" s="11"/>
      <c r="AD2" s="37"/>
    </row>
    <row r="3" spans="1:30">
      <c r="A3" s="56" t="s">
        <v>36</v>
      </c>
      <c r="B3" s="49" t="s">
        <v>31</v>
      </c>
      <c r="C3" s="8" t="s">
        <v>37</v>
      </c>
      <c r="D3" s="22">
        <v>1</v>
      </c>
      <c r="E3" s="22">
        <v>1</v>
      </c>
      <c r="F3" s="22">
        <v>1</v>
      </c>
      <c r="G3" s="8" t="s">
        <v>33</v>
      </c>
      <c r="H3" s="22">
        <v>8</v>
      </c>
      <c r="I3" s="28">
        <v>11372.05</v>
      </c>
      <c r="J3" s="28">
        <v>90976.4</v>
      </c>
      <c r="K3" s="9">
        <v>1</v>
      </c>
      <c r="L3" s="8" t="s">
        <v>34</v>
      </c>
      <c r="M3" s="10" t="s">
        <v>35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11"/>
      <c r="AC3" s="11"/>
      <c r="AD3" s="37"/>
    </row>
    <row r="4" spans="1:30">
      <c r="A4" s="56" t="s">
        <v>38</v>
      </c>
      <c r="B4" s="49" t="s">
        <v>31</v>
      </c>
      <c r="C4" s="8" t="s">
        <v>39</v>
      </c>
      <c r="D4" s="22">
        <v>2</v>
      </c>
      <c r="E4" s="22">
        <v>2</v>
      </c>
      <c r="F4" s="22">
        <v>1</v>
      </c>
      <c r="G4" s="8" t="s">
        <v>33</v>
      </c>
      <c r="H4" s="22">
        <v>10</v>
      </c>
      <c r="I4" s="28">
        <v>11372.05</v>
      </c>
      <c r="J4" s="28">
        <v>113720.5</v>
      </c>
      <c r="K4" s="9">
        <v>1</v>
      </c>
      <c r="L4" s="8" t="s">
        <v>34</v>
      </c>
      <c r="M4" s="10"/>
      <c r="N4" s="10" t="s">
        <v>35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11"/>
      <c r="AC4" s="11"/>
      <c r="AD4" s="37"/>
    </row>
    <row r="5" spans="1:30">
      <c r="A5" s="57" t="s">
        <v>40</v>
      </c>
      <c r="B5" s="50" t="s">
        <v>41</v>
      </c>
      <c r="C5" s="12" t="s">
        <v>42</v>
      </c>
      <c r="D5" s="23">
        <v>2</v>
      </c>
      <c r="E5" s="23">
        <v>2</v>
      </c>
      <c r="F5" s="23">
        <v>1</v>
      </c>
      <c r="G5" s="12" t="s">
        <v>43</v>
      </c>
      <c r="H5" s="23">
        <v>8</v>
      </c>
      <c r="I5" s="29">
        <v>6298.0222222222219</v>
      </c>
      <c r="J5" s="29">
        <v>50384.177777777775</v>
      </c>
      <c r="K5" s="13">
        <v>1</v>
      </c>
      <c r="L5" s="12" t="s">
        <v>34</v>
      </c>
      <c r="M5" s="10"/>
      <c r="N5" s="10" t="s">
        <v>35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1"/>
      <c r="AB5" s="11"/>
      <c r="AC5" s="11"/>
      <c r="AD5" s="37"/>
    </row>
    <row r="6" spans="1:30">
      <c r="A6" s="57" t="s">
        <v>44</v>
      </c>
      <c r="B6" s="50" t="s">
        <v>41</v>
      </c>
      <c r="C6" s="12" t="s">
        <v>45</v>
      </c>
      <c r="D6" s="23">
        <v>3</v>
      </c>
      <c r="E6" s="23">
        <v>3</v>
      </c>
      <c r="F6" s="23">
        <v>1</v>
      </c>
      <c r="G6" s="12" t="s">
        <v>43</v>
      </c>
      <c r="H6" s="23">
        <v>20</v>
      </c>
      <c r="I6" s="29">
        <v>6298.0222222222219</v>
      </c>
      <c r="J6" s="29">
        <v>125960.44444444444</v>
      </c>
      <c r="K6" s="13">
        <v>1</v>
      </c>
      <c r="L6" s="12" t="s">
        <v>34</v>
      </c>
      <c r="M6" s="10"/>
      <c r="N6" s="10"/>
      <c r="O6" s="10" t="s">
        <v>35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  <c r="AB6" s="11"/>
      <c r="AC6" s="11"/>
      <c r="AD6" s="37"/>
    </row>
    <row r="7" spans="1:30">
      <c r="A7" s="57" t="s">
        <v>46</v>
      </c>
      <c r="B7" s="50" t="s">
        <v>41</v>
      </c>
      <c r="C7" s="12" t="s">
        <v>47</v>
      </c>
      <c r="D7" s="23">
        <v>4</v>
      </c>
      <c r="E7" s="23">
        <v>4</v>
      </c>
      <c r="F7" s="23">
        <v>1</v>
      </c>
      <c r="G7" s="12" t="s">
        <v>43</v>
      </c>
      <c r="H7" s="23">
        <v>12</v>
      </c>
      <c r="I7" s="29">
        <v>6298.0222222222219</v>
      </c>
      <c r="J7" s="29">
        <v>75576.266666666663</v>
      </c>
      <c r="K7" s="13">
        <v>1</v>
      </c>
      <c r="L7" s="12" t="s">
        <v>34</v>
      </c>
      <c r="M7" s="10"/>
      <c r="N7" s="10"/>
      <c r="O7" s="10"/>
      <c r="P7" s="10" t="s">
        <v>35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  <c r="AB7" s="11"/>
      <c r="AC7" s="11"/>
      <c r="AD7" s="37"/>
    </row>
    <row r="8" spans="1:30">
      <c r="A8" s="57" t="s">
        <v>48</v>
      </c>
      <c r="B8" s="50" t="s">
        <v>41</v>
      </c>
      <c r="C8" s="12" t="s">
        <v>49</v>
      </c>
      <c r="D8" s="23">
        <v>4</v>
      </c>
      <c r="E8" s="23">
        <v>5</v>
      </c>
      <c r="F8" s="23">
        <v>2</v>
      </c>
      <c r="G8" s="12" t="s">
        <v>43</v>
      </c>
      <c r="H8" s="23">
        <v>14</v>
      </c>
      <c r="I8" s="29">
        <v>6298.0222222222219</v>
      </c>
      <c r="J8" s="29">
        <v>88172.311111111107</v>
      </c>
      <c r="K8" s="13">
        <v>1</v>
      </c>
      <c r="L8" s="12" t="s">
        <v>34</v>
      </c>
      <c r="M8" s="10"/>
      <c r="N8" s="10"/>
      <c r="O8" s="10"/>
      <c r="P8" s="10" t="s">
        <v>35</v>
      </c>
      <c r="Q8" s="10" t="s">
        <v>35</v>
      </c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  <c r="AD8" s="37"/>
    </row>
    <row r="9" spans="1:30" ht="27.6">
      <c r="A9" s="58" t="s">
        <v>50</v>
      </c>
      <c r="B9" s="51" t="s">
        <v>51</v>
      </c>
      <c r="C9" s="14" t="s">
        <v>52</v>
      </c>
      <c r="D9" s="24">
        <v>5</v>
      </c>
      <c r="E9" s="24">
        <v>5</v>
      </c>
      <c r="F9" s="24">
        <v>1</v>
      </c>
      <c r="G9" s="14" t="s">
        <v>53</v>
      </c>
      <c r="H9" s="24">
        <v>12</v>
      </c>
      <c r="I9" s="30">
        <v>40740</v>
      </c>
      <c r="J9" s="30">
        <v>488880</v>
      </c>
      <c r="K9" s="15">
        <v>1</v>
      </c>
      <c r="L9" s="14" t="s">
        <v>34</v>
      </c>
      <c r="M9" s="10"/>
      <c r="N9" s="10"/>
      <c r="O9" s="10"/>
      <c r="P9" s="10"/>
      <c r="Q9" s="10" t="s">
        <v>35</v>
      </c>
      <c r="R9" s="10"/>
      <c r="S9" s="10"/>
      <c r="T9" s="10"/>
      <c r="U9" s="10"/>
      <c r="V9" s="10"/>
      <c r="W9" s="10"/>
      <c r="X9" s="10"/>
      <c r="Y9" s="10"/>
      <c r="Z9" s="10"/>
      <c r="AA9" s="11"/>
      <c r="AB9" s="11"/>
      <c r="AC9" s="11"/>
      <c r="AD9" s="37"/>
    </row>
    <row r="10" spans="1:30">
      <c r="A10" s="58" t="s">
        <v>54</v>
      </c>
      <c r="B10" s="51" t="s">
        <v>51</v>
      </c>
      <c r="C10" s="14" t="s">
        <v>55</v>
      </c>
      <c r="D10" s="24">
        <v>5</v>
      </c>
      <c r="E10" s="24">
        <v>6</v>
      </c>
      <c r="F10" s="24">
        <v>2</v>
      </c>
      <c r="G10" s="14" t="s">
        <v>53</v>
      </c>
      <c r="H10" s="24">
        <v>14</v>
      </c>
      <c r="I10" s="30">
        <v>40740</v>
      </c>
      <c r="J10" s="30">
        <v>570360</v>
      </c>
      <c r="K10" s="15">
        <v>1</v>
      </c>
      <c r="L10" s="14" t="s">
        <v>34</v>
      </c>
      <c r="M10" s="10"/>
      <c r="N10" s="10"/>
      <c r="O10" s="10"/>
      <c r="P10" s="10"/>
      <c r="Q10" s="10" t="s">
        <v>35</v>
      </c>
      <c r="R10" s="10" t="s">
        <v>35</v>
      </c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37"/>
    </row>
    <row r="11" spans="1:30" ht="27.6">
      <c r="A11" s="58" t="s">
        <v>56</v>
      </c>
      <c r="B11" s="51" t="s">
        <v>51</v>
      </c>
      <c r="C11" s="14" t="s">
        <v>57</v>
      </c>
      <c r="D11" s="24">
        <v>6</v>
      </c>
      <c r="E11" s="24">
        <v>6</v>
      </c>
      <c r="F11" s="24">
        <v>1</v>
      </c>
      <c r="G11" s="14" t="s">
        <v>53</v>
      </c>
      <c r="H11" s="24">
        <v>20</v>
      </c>
      <c r="I11" s="30">
        <v>40740</v>
      </c>
      <c r="J11" s="30">
        <v>814800</v>
      </c>
      <c r="K11" s="15">
        <v>1</v>
      </c>
      <c r="L11" s="14" t="s">
        <v>34</v>
      </c>
      <c r="M11" s="10"/>
      <c r="N11" s="10"/>
      <c r="O11" s="10"/>
      <c r="P11" s="10"/>
      <c r="Q11" s="10"/>
      <c r="R11" s="10" t="s">
        <v>35</v>
      </c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37"/>
    </row>
    <row r="12" spans="1:30">
      <c r="A12" s="58" t="s">
        <v>58</v>
      </c>
      <c r="B12" s="51" t="s">
        <v>51</v>
      </c>
      <c r="C12" s="14" t="s">
        <v>59</v>
      </c>
      <c r="D12" s="24">
        <v>6</v>
      </c>
      <c r="E12" s="24">
        <v>7</v>
      </c>
      <c r="F12" s="24">
        <v>2</v>
      </c>
      <c r="G12" s="14" t="s">
        <v>53</v>
      </c>
      <c r="H12" s="24">
        <v>16</v>
      </c>
      <c r="I12" s="30">
        <v>40740</v>
      </c>
      <c r="J12" s="30">
        <v>651840</v>
      </c>
      <c r="K12" s="15">
        <v>1</v>
      </c>
      <c r="L12" s="14" t="s">
        <v>34</v>
      </c>
      <c r="M12" s="10"/>
      <c r="N12" s="10"/>
      <c r="O12" s="10"/>
      <c r="P12" s="10"/>
      <c r="Q12" s="10"/>
      <c r="R12" s="10" t="s">
        <v>35</v>
      </c>
      <c r="S12" s="10" t="s">
        <v>35</v>
      </c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37"/>
    </row>
    <row r="13" spans="1:30">
      <c r="A13" s="58" t="s">
        <v>60</v>
      </c>
      <c r="B13" s="51" t="s">
        <v>51</v>
      </c>
      <c r="C13" s="14" t="s">
        <v>61</v>
      </c>
      <c r="D13" s="24">
        <v>7</v>
      </c>
      <c r="E13" s="24">
        <v>7</v>
      </c>
      <c r="F13" s="24">
        <v>1</v>
      </c>
      <c r="G13" s="14" t="s">
        <v>53</v>
      </c>
      <c r="H13" s="24">
        <v>16</v>
      </c>
      <c r="I13" s="30">
        <v>40740</v>
      </c>
      <c r="J13" s="30">
        <v>651840</v>
      </c>
      <c r="K13" s="15">
        <v>1</v>
      </c>
      <c r="L13" s="14" t="s">
        <v>34</v>
      </c>
      <c r="M13" s="10"/>
      <c r="N13" s="10"/>
      <c r="O13" s="10"/>
      <c r="P13" s="10"/>
      <c r="Q13" s="10"/>
      <c r="R13" s="10"/>
      <c r="S13" s="10" t="s">
        <v>35</v>
      </c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37"/>
    </row>
    <row r="14" spans="1:30">
      <c r="A14" s="58" t="s">
        <v>62</v>
      </c>
      <c r="B14" s="51" t="s">
        <v>51</v>
      </c>
      <c r="C14" s="14" t="s">
        <v>63</v>
      </c>
      <c r="D14" s="24">
        <v>8</v>
      </c>
      <c r="E14" s="24">
        <v>8</v>
      </c>
      <c r="F14" s="24">
        <v>1</v>
      </c>
      <c r="G14" s="14" t="s">
        <v>53</v>
      </c>
      <c r="H14" s="24">
        <v>10</v>
      </c>
      <c r="I14" s="30">
        <v>40740</v>
      </c>
      <c r="J14" s="30">
        <v>407400</v>
      </c>
      <c r="K14" s="15">
        <v>1</v>
      </c>
      <c r="L14" s="14" t="s">
        <v>34</v>
      </c>
      <c r="M14" s="10"/>
      <c r="N14" s="10"/>
      <c r="O14" s="10"/>
      <c r="P14" s="10"/>
      <c r="Q14" s="10"/>
      <c r="R14" s="10"/>
      <c r="S14" s="10"/>
      <c r="T14" s="10" t="s">
        <v>35</v>
      </c>
      <c r="U14" s="10"/>
      <c r="V14" s="10"/>
      <c r="W14" s="10"/>
      <c r="X14" s="10"/>
      <c r="Y14" s="10"/>
      <c r="Z14" s="10"/>
      <c r="AA14" s="11"/>
      <c r="AB14" s="11"/>
      <c r="AC14" s="11"/>
      <c r="AD14" s="37"/>
    </row>
    <row r="15" spans="1:30">
      <c r="A15" s="58" t="s">
        <v>64</v>
      </c>
      <c r="B15" s="51" t="s">
        <v>51</v>
      </c>
      <c r="C15" s="14" t="s">
        <v>65</v>
      </c>
      <c r="D15" s="24">
        <v>8</v>
      </c>
      <c r="E15" s="24">
        <v>8</v>
      </c>
      <c r="F15" s="24">
        <v>1</v>
      </c>
      <c r="G15" s="14" t="s">
        <v>53</v>
      </c>
      <c r="H15" s="24">
        <v>10</v>
      </c>
      <c r="I15" s="30">
        <v>40740</v>
      </c>
      <c r="J15" s="30">
        <v>407400</v>
      </c>
      <c r="K15" s="15">
        <v>1</v>
      </c>
      <c r="L15" s="14" t="s">
        <v>34</v>
      </c>
      <c r="M15" s="10"/>
      <c r="N15" s="10"/>
      <c r="O15" s="10"/>
      <c r="P15" s="10"/>
      <c r="Q15" s="10"/>
      <c r="R15" s="10"/>
      <c r="S15" s="10"/>
      <c r="T15" s="10" t="s">
        <v>35</v>
      </c>
      <c r="U15" s="10"/>
      <c r="V15" s="10"/>
      <c r="W15" s="10"/>
      <c r="X15" s="10"/>
      <c r="Y15" s="10"/>
      <c r="Z15" s="10"/>
      <c r="AA15" s="11"/>
      <c r="AB15" s="11"/>
      <c r="AC15" s="11"/>
      <c r="AD15" s="37"/>
    </row>
    <row r="16" spans="1:30">
      <c r="A16" s="58" t="s">
        <v>66</v>
      </c>
      <c r="B16" s="51" t="s">
        <v>51</v>
      </c>
      <c r="C16" s="14" t="s">
        <v>67</v>
      </c>
      <c r="D16" s="24">
        <v>8</v>
      </c>
      <c r="E16" s="24">
        <v>9</v>
      </c>
      <c r="F16" s="24">
        <v>2</v>
      </c>
      <c r="G16" s="14" t="s">
        <v>53</v>
      </c>
      <c r="H16" s="24">
        <v>12</v>
      </c>
      <c r="I16" s="30">
        <v>40740</v>
      </c>
      <c r="J16" s="30">
        <v>488880</v>
      </c>
      <c r="K16" s="15">
        <v>1</v>
      </c>
      <c r="L16" s="14" t="s">
        <v>34</v>
      </c>
      <c r="M16" s="10"/>
      <c r="N16" s="10"/>
      <c r="O16" s="10"/>
      <c r="P16" s="10"/>
      <c r="Q16" s="10"/>
      <c r="R16" s="10"/>
      <c r="S16" s="10"/>
      <c r="T16" s="10" t="s">
        <v>35</v>
      </c>
      <c r="U16" s="10" t="s">
        <v>35</v>
      </c>
      <c r="V16" s="10"/>
      <c r="W16" s="10"/>
      <c r="X16" s="10"/>
      <c r="Y16" s="10"/>
      <c r="Z16" s="10"/>
      <c r="AA16" s="11"/>
      <c r="AB16" s="11"/>
      <c r="AC16" s="11"/>
      <c r="AD16" s="37"/>
    </row>
    <row r="17" spans="1:30">
      <c r="A17" s="59" t="s">
        <v>68</v>
      </c>
      <c r="B17" s="52" t="s">
        <v>69</v>
      </c>
      <c r="C17" s="16" t="s">
        <v>70</v>
      </c>
      <c r="D17" s="25">
        <v>9</v>
      </c>
      <c r="E17" s="25">
        <v>9</v>
      </c>
      <c r="F17" s="25">
        <v>1</v>
      </c>
      <c r="G17" s="16" t="s">
        <v>71</v>
      </c>
      <c r="H17" s="25">
        <v>8</v>
      </c>
      <c r="I17" s="31">
        <v>5416.666666666667</v>
      </c>
      <c r="J17" s="31">
        <v>43333.333333333336</v>
      </c>
      <c r="K17" s="17">
        <v>1</v>
      </c>
      <c r="L17" s="16" t="s">
        <v>34</v>
      </c>
      <c r="M17" s="10"/>
      <c r="N17" s="10"/>
      <c r="O17" s="10"/>
      <c r="P17" s="10"/>
      <c r="Q17" s="10"/>
      <c r="R17" s="10"/>
      <c r="S17" s="10"/>
      <c r="T17" s="10"/>
      <c r="U17" s="10" t="s">
        <v>35</v>
      </c>
      <c r="V17" s="10"/>
      <c r="W17" s="10"/>
      <c r="X17" s="10"/>
      <c r="Y17" s="10"/>
      <c r="Z17" s="10"/>
      <c r="AA17" s="11"/>
      <c r="AB17" s="11"/>
      <c r="AC17" s="11"/>
      <c r="AD17" s="37"/>
    </row>
    <row r="18" spans="1:30">
      <c r="A18" s="59" t="s">
        <v>72</v>
      </c>
      <c r="B18" s="52" t="s">
        <v>69</v>
      </c>
      <c r="C18" s="16" t="s">
        <v>73</v>
      </c>
      <c r="D18" s="25">
        <v>9</v>
      </c>
      <c r="E18" s="25">
        <v>10</v>
      </c>
      <c r="F18" s="25">
        <v>2</v>
      </c>
      <c r="G18" s="16" t="s">
        <v>71</v>
      </c>
      <c r="H18" s="25">
        <v>24</v>
      </c>
      <c r="I18" s="31">
        <v>5416.666666666667</v>
      </c>
      <c r="J18" s="31">
        <v>130000</v>
      </c>
      <c r="K18" s="17">
        <v>1</v>
      </c>
      <c r="L18" s="16" t="s">
        <v>34</v>
      </c>
      <c r="M18" s="10"/>
      <c r="N18" s="10"/>
      <c r="O18" s="10"/>
      <c r="P18" s="10"/>
      <c r="Q18" s="10"/>
      <c r="R18" s="10"/>
      <c r="S18" s="10"/>
      <c r="T18" s="10"/>
      <c r="U18" s="10" t="s">
        <v>35</v>
      </c>
      <c r="V18" s="10" t="s">
        <v>35</v>
      </c>
      <c r="W18" s="10"/>
      <c r="X18" s="10"/>
      <c r="Y18" s="10"/>
      <c r="Z18" s="10"/>
      <c r="AA18" s="11"/>
      <c r="AB18" s="11"/>
      <c r="AC18" s="11"/>
      <c r="AD18" s="37"/>
    </row>
    <row r="19" spans="1:30">
      <c r="A19" s="59" t="s">
        <v>74</v>
      </c>
      <c r="B19" s="52" t="s">
        <v>69</v>
      </c>
      <c r="C19" s="16" t="s">
        <v>75</v>
      </c>
      <c r="D19" s="25">
        <v>10</v>
      </c>
      <c r="E19" s="25">
        <v>10</v>
      </c>
      <c r="F19" s="25">
        <v>1</v>
      </c>
      <c r="G19" s="16" t="s">
        <v>71</v>
      </c>
      <c r="H19" s="25">
        <v>12</v>
      </c>
      <c r="I19" s="31">
        <v>5416.666666666667</v>
      </c>
      <c r="J19" s="31">
        <v>65000</v>
      </c>
      <c r="K19" s="17">
        <v>1</v>
      </c>
      <c r="L19" s="16" t="s">
        <v>34</v>
      </c>
      <c r="M19" s="10"/>
      <c r="N19" s="10"/>
      <c r="O19" s="10"/>
      <c r="P19" s="10"/>
      <c r="Q19" s="10"/>
      <c r="R19" s="10"/>
      <c r="S19" s="10"/>
      <c r="T19" s="10"/>
      <c r="U19" s="10"/>
      <c r="V19" s="10" t="s">
        <v>35</v>
      </c>
      <c r="W19" s="10"/>
      <c r="X19" s="10"/>
      <c r="Y19" s="10"/>
      <c r="Z19" s="10"/>
      <c r="AA19" s="11"/>
      <c r="AB19" s="11"/>
      <c r="AC19" s="11"/>
      <c r="AD19" s="37"/>
    </row>
    <row r="20" spans="1:30">
      <c r="A20" s="59" t="s">
        <v>76</v>
      </c>
      <c r="B20" s="52" t="s">
        <v>69</v>
      </c>
      <c r="C20" s="16" t="s">
        <v>77</v>
      </c>
      <c r="D20" s="25">
        <v>11</v>
      </c>
      <c r="E20" s="25">
        <v>11</v>
      </c>
      <c r="F20" s="25">
        <v>1</v>
      </c>
      <c r="G20" s="16" t="s">
        <v>78</v>
      </c>
      <c r="H20" s="25">
        <v>14</v>
      </c>
      <c r="I20" s="31">
        <v>4873.4222222222224</v>
      </c>
      <c r="J20" s="31">
        <v>68227.911111111112</v>
      </c>
      <c r="K20" s="17">
        <v>1</v>
      </c>
      <c r="L20" s="16" t="s">
        <v>34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 t="s">
        <v>35</v>
      </c>
      <c r="X20" s="10"/>
      <c r="Y20" s="10"/>
      <c r="Z20" s="10"/>
      <c r="AA20" s="11"/>
      <c r="AB20" s="11"/>
      <c r="AC20" s="11"/>
      <c r="AD20" s="37"/>
    </row>
    <row r="21" spans="1:30">
      <c r="A21" s="59" t="s">
        <v>79</v>
      </c>
      <c r="B21" s="52" t="s">
        <v>69</v>
      </c>
      <c r="C21" s="16" t="s">
        <v>80</v>
      </c>
      <c r="D21" s="25">
        <v>11</v>
      </c>
      <c r="E21" s="25">
        <v>12</v>
      </c>
      <c r="F21" s="25">
        <v>2</v>
      </c>
      <c r="G21" s="16" t="s">
        <v>71</v>
      </c>
      <c r="H21" s="25">
        <v>18</v>
      </c>
      <c r="I21" s="31">
        <v>5416.666666666667</v>
      </c>
      <c r="J21" s="31">
        <v>97500</v>
      </c>
      <c r="K21" s="17">
        <v>1</v>
      </c>
      <c r="L21" s="16" t="s">
        <v>34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 t="s">
        <v>35</v>
      </c>
      <c r="X21" s="10" t="s">
        <v>35</v>
      </c>
      <c r="Y21" s="10"/>
      <c r="Z21" s="10"/>
      <c r="AA21" s="11"/>
      <c r="AB21" s="11"/>
      <c r="AC21" s="11"/>
      <c r="AD21" s="37"/>
    </row>
    <row r="22" spans="1:30">
      <c r="A22" s="59" t="s">
        <v>81</v>
      </c>
      <c r="B22" s="52" t="s">
        <v>69</v>
      </c>
      <c r="C22" s="16" t="s">
        <v>82</v>
      </c>
      <c r="D22" s="25">
        <v>12</v>
      </c>
      <c r="E22" s="25">
        <v>12</v>
      </c>
      <c r="F22" s="25">
        <v>1</v>
      </c>
      <c r="G22" s="16" t="s">
        <v>83</v>
      </c>
      <c r="H22" s="25">
        <v>8</v>
      </c>
      <c r="I22" s="31">
        <v>6166.5277777777774</v>
      </c>
      <c r="J22" s="31">
        <v>49332.222222222219</v>
      </c>
      <c r="K22" s="17">
        <v>1</v>
      </c>
      <c r="L22" s="16" t="s">
        <v>34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 t="s">
        <v>35</v>
      </c>
      <c r="Y22" s="10"/>
      <c r="Z22" s="10"/>
      <c r="AA22" s="11"/>
      <c r="AB22" s="11"/>
      <c r="AC22" s="11"/>
      <c r="AD22" s="37"/>
    </row>
    <row r="23" spans="1:30">
      <c r="A23" s="60" t="s">
        <v>84</v>
      </c>
      <c r="B23" s="53" t="s">
        <v>85</v>
      </c>
      <c r="C23" s="18" t="s">
        <v>86</v>
      </c>
      <c r="D23" s="26">
        <v>13</v>
      </c>
      <c r="E23" s="26">
        <v>13</v>
      </c>
      <c r="F23" s="26">
        <v>1</v>
      </c>
      <c r="G23" s="18" t="s">
        <v>78</v>
      </c>
      <c r="H23" s="26">
        <v>18</v>
      </c>
      <c r="I23" s="32">
        <v>4873.4222222222224</v>
      </c>
      <c r="J23" s="32">
        <v>87721.600000000006</v>
      </c>
      <c r="K23" s="19">
        <v>1</v>
      </c>
      <c r="L23" s="18" t="s">
        <v>34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 t="s">
        <v>35</v>
      </c>
      <c r="Z23" s="10"/>
      <c r="AA23" s="11"/>
      <c r="AB23" s="11"/>
      <c r="AC23" s="11"/>
      <c r="AD23" s="37"/>
    </row>
    <row r="24" spans="1:30">
      <c r="A24" s="60" t="s">
        <v>87</v>
      </c>
      <c r="B24" s="53" t="s">
        <v>85</v>
      </c>
      <c r="C24" s="18" t="s">
        <v>88</v>
      </c>
      <c r="D24" s="26">
        <v>13</v>
      </c>
      <c r="E24" s="26">
        <v>14</v>
      </c>
      <c r="F24" s="26">
        <v>2</v>
      </c>
      <c r="G24" s="18" t="s">
        <v>78</v>
      </c>
      <c r="H24" s="26">
        <v>16</v>
      </c>
      <c r="I24" s="32">
        <v>4873.4222222222224</v>
      </c>
      <c r="J24" s="32">
        <v>77974.755555555559</v>
      </c>
      <c r="K24" s="19">
        <v>1</v>
      </c>
      <c r="L24" s="18" t="s">
        <v>34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 t="s">
        <v>35</v>
      </c>
      <c r="Z24" s="10" t="s">
        <v>35</v>
      </c>
      <c r="AA24" s="11"/>
      <c r="AB24" s="11"/>
      <c r="AC24" s="11"/>
      <c r="AD24" s="37"/>
    </row>
    <row r="25" spans="1:30">
      <c r="A25" s="60" t="s">
        <v>89</v>
      </c>
      <c r="B25" s="53" t="s">
        <v>85</v>
      </c>
      <c r="C25" s="18" t="s">
        <v>90</v>
      </c>
      <c r="D25" s="26">
        <v>14</v>
      </c>
      <c r="E25" s="26">
        <v>14</v>
      </c>
      <c r="F25" s="26">
        <v>1</v>
      </c>
      <c r="G25" s="18" t="s">
        <v>78</v>
      </c>
      <c r="H25" s="26">
        <v>10</v>
      </c>
      <c r="I25" s="32">
        <v>4873.4222222222224</v>
      </c>
      <c r="J25" s="32">
        <v>48734.222222222226</v>
      </c>
      <c r="K25" s="19">
        <v>1</v>
      </c>
      <c r="L25" s="18" t="s">
        <v>34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 t="s">
        <v>35</v>
      </c>
      <c r="AA25" s="11"/>
      <c r="AB25" s="11"/>
      <c r="AC25" s="11"/>
      <c r="AD25" s="37"/>
    </row>
    <row r="26" spans="1:30">
      <c r="A26" s="60" t="s">
        <v>91</v>
      </c>
      <c r="B26" s="53" t="s">
        <v>85</v>
      </c>
      <c r="C26" s="18" t="s">
        <v>92</v>
      </c>
      <c r="D26" s="26">
        <v>14</v>
      </c>
      <c r="E26" s="26">
        <v>15</v>
      </c>
      <c r="F26" s="26">
        <v>2</v>
      </c>
      <c r="G26" s="18" t="s">
        <v>78</v>
      </c>
      <c r="H26" s="26">
        <v>10</v>
      </c>
      <c r="I26" s="32">
        <v>4873.4222222222224</v>
      </c>
      <c r="J26" s="32">
        <v>48734.222222222226</v>
      </c>
      <c r="K26" s="19">
        <v>1</v>
      </c>
      <c r="L26" s="18" t="s">
        <v>34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 t="s">
        <v>35</v>
      </c>
      <c r="AA26" s="11" t="s">
        <v>35</v>
      </c>
      <c r="AB26" s="11"/>
      <c r="AC26" s="11"/>
      <c r="AD26" s="37"/>
    </row>
    <row r="27" spans="1:30">
      <c r="A27" s="61" t="s">
        <v>93</v>
      </c>
      <c r="B27" s="54" t="s">
        <v>94</v>
      </c>
      <c r="C27" s="20" t="s">
        <v>95</v>
      </c>
      <c r="D27" s="27">
        <v>13</v>
      </c>
      <c r="E27" s="27">
        <v>16</v>
      </c>
      <c r="F27" s="27">
        <v>4</v>
      </c>
      <c r="G27" s="20" t="s">
        <v>83</v>
      </c>
      <c r="H27" s="27">
        <v>28</v>
      </c>
      <c r="I27" s="33">
        <v>6166.5277777777774</v>
      </c>
      <c r="J27" s="33">
        <v>172662.77777777775</v>
      </c>
      <c r="K27" s="21">
        <v>1</v>
      </c>
      <c r="L27" s="20" t="s">
        <v>34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s">
        <v>35</v>
      </c>
      <c r="Z27" s="10" t="s">
        <v>35</v>
      </c>
      <c r="AA27" s="11" t="s">
        <v>35</v>
      </c>
      <c r="AB27" s="11" t="s">
        <v>35</v>
      </c>
      <c r="AC27" s="11"/>
      <c r="AD27" s="37"/>
    </row>
    <row r="28" spans="1:30">
      <c r="A28" s="61" t="s">
        <v>96</v>
      </c>
      <c r="B28" s="54" t="s">
        <v>94</v>
      </c>
      <c r="C28" s="20" t="s">
        <v>97</v>
      </c>
      <c r="D28" s="27">
        <v>15</v>
      </c>
      <c r="E28" s="27">
        <v>16</v>
      </c>
      <c r="F28" s="27">
        <v>2</v>
      </c>
      <c r="G28" s="20" t="s">
        <v>83</v>
      </c>
      <c r="H28" s="27">
        <v>18</v>
      </c>
      <c r="I28" s="33">
        <v>6166.5277777777774</v>
      </c>
      <c r="J28" s="33">
        <v>110997.5</v>
      </c>
      <c r="K28" s="21">
        <v>1</v>
      </c>
      <c r="L28" s="20" t="s">
        <v>34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 t="s">
        <v>35</v>
      </c>
      <c r="AB28" s="11" t="s">
        <v>35</v>
      </c>
      <c r="AC28" s="11"/>
      <c r="AD28" s="37"/>
    </row>
    <row r="29" spans="1:30">
      <c r="A29" s="61" t="s">
        <v>98</v>
      </c>
      <c r="B29" s="54" t="s">
        <v>94</v>
      </c>
      <c r="C29" s="20" t="s">
        <v>99</v>
      </c>
      <c r="D29" s="27">
        <v>16</v>
      </c>
      <c r="E29" s="27">
        <v>16</v>
      </c>
      <c r="F29" s="27">
        <v>1</v>
      </c>
      <c r="G29" s="20" t="s">
        <v>83</v>
      </c>
      <c r="H29" s="27">
        <v>12</v>
      </c>
      <c r="I29" s="33">
        <v>6166.5277777777774</v>
      </c>
      <c r="J29" s="33">
        <v>73998.333333333328</v>
      </c>
      <c r="K29" s="21">
        <v>1</v>
      </c>
      <c r="L29" s="20" t="s">
        <v>34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  <c r="AB29" s="11" t="s">
        <v>35</v>
      </c>
      <c r="AC29" s="11"/>
      <c r="AD29" s="37"/>
    </row>
    <row r="30" spans="1:30">
      <c r="A30" s="61" t="s">
        <v>100</v>
      </c>
      <c r="B30" s="54" t="s">
        <v>94</v>
      </c>
      <c r="C30" s="20" t="s">
        <v>101</v>
      </c>
      <c r="D30" s="27">
        <v>17</v>
      </c>
      <c r="E30" s="27">
        <v>17</v>
      </c>
      <c r="F30" s="27">
        <v>1</v>
      </c>
      <c r="G30" s="20" t="s">
        <v>83</v>
      </c>
      <c r="H30" s="27">
        <v>16</v>
      </c>
      <c r="I30" s="33">
        <v>6166.5277777777774</v>
      </c>
      <c r="J30" s="33">
        <v>98664.444444444438</v>
      </c>
      <c r="K30" s="21">
        <v>1</v>
      </c>
      <c r="L30" s="20" t="s">
        <v>34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  <c r="AB30" s="11"/>
      <c r="AC30" s="11" t="s">
        <v>35</v>
      </c>
      <c r="AD30" s="37"/>
    </row>
    <row r="31" spans="1:30" ht="27.6">
      <c r="A31" s="61" t="s">
        <v>102</v>
      </c>
      <c r="B31" s="54" t="s">
        <v>94</v>
      </c>
      <c r="C31" s="20" t="s">
        <v>103</v>
      </c>
      <c r="D31" s="27">
        <v>17</v>
      </c>
      <c r="E31" s="27">
        <v>17</v>
      </c>
      <c r="F31" s="27">
        <v>1</v>
      </c>
      <c r="G31" s="20" t="s">
        <v>33</v>
      </c>
      <c r="H31" s="27">
        <v>10</v>
      </c>
      <c r="I31" s="33">
        <v>11372.05</v>
      </c>
      <c r="J31" s="33">
        <v>113720.5</v>
      </c>
      <c r="K31" s="21">
        <v>1</v>
      </c>
      <c r="L31" s="20" t="s">
        <v>34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  <c r="AB31" s="11"/>
      <c r="AC31" s="11" t="s">
        <v>35</v>
      </c>
      <c r="AD31" s="37"/>
    </row>
    <row r="32" spans="1:30">
      <c r="A32" s="62" t="s">
        <v>104</v>
      </c>
      <c r="B32" s="55" t="s">
        <v>94</v>
      </c>
      <c r="C32" s="38" t="s">
        <v>105</v>
      </c>
      <c r="D32" s="39">
        <v>18</v>
      </c>
      <c r="E32" s="39">
        <v>18</v>
      </c>
      <c r="F32" s="39">
        <v>1</v>
      </c>
      <c r="G32" s="38" t="s">
        <v>33</v>
      </c>
      <c r="H32" s="39">
        <v>10</v>
      </c>
      <c r="I32" s="40">
        <v>11372.05</v>
      </c>
      <c r="J32" s="40">
        <v>113720.5</v>
      </c>
      <c r="K32" s="41">
        <v>1</v>
      </c>
      <c r="L32" s="38" t="s">
        <v>34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3"/>
      <c r="AB32" s="43"/>
      <c r="AC32" s="43"/>
      <c r="AD32" s="44" t="s">
        <v>35</v>
      </c>
    </row>
  </sheetData>
  <conditionalFormatting sqref="L2:L32">
    <cfRule type="expression" dxfId="4" priority="1">
      <formula>L2="Completado"</formula>
    </cfRule>
    <cfRule type="expression" dxfId="3" priority="2">
      <formula>L2="En curso"</formula>
    </cfRule>
    <cfRule type="expression" dxfId="2" priority="3">
      <formula>L2="Pendiente"</formula>
    </cfRule>
  </conditionalFormatting>
  <conditionalFormatting sqref="M2:Z32">
    <cfRule type="expression" dxfId="1" priority="4">
      <formula>M2="■"</formula>
    </cfRule>
  </conditionalFormatting>
  <conditionalFormatting sqref="M2:AD32">
    <cfRule type="expression" dxfId="0" priority="5">
      <formula>M2="■"</formula>
    </cfRule>
  </conditionalFormatting>
  <dataValidations count="1">
    <dataValidation type="list" sqref="L2:L32" xr:uid="{00000000-0002-0000-0000-000000000000}">
      <formula1>"Pendiente,En curso,Completado"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F1"/>
    </sheetView>
  </sheetViews>
  <sheetFormatPr baseColWidth="10" defaultColWidth="8.796875" defaultRowHeight="13.8"/>
  <cols>
    <col min="1" max="1" width="34" customWidth="1"/>
    <col min="2" max="2" width="22" customWidth="1"/>
    <col min="3" max="3" width="18" customWidth="1"/>
    <col min="4" max="5" width="22" customWidth="1"/>
    <col min="6" max="6" width="58" customWidth="1"/>
    <col min="8" max="8" width="24" customWidth="1"/>
    <col min="9" max="9" width="58" customWidth="1"/>
  </cols>
  <sheetData>
    <row r="1" spans="1:9" ht="17.399999999999999">
      <c r="A1" s="47" t="s">
        <v>106</v>
      </c>
      <c r="B1" s="47"/>
      <c r="C1" s="47"/>
      <c r="D1" s="47"/>
      <c r="E1" s="47"/>
      <c r="F1" s="47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27.6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1"/>
      <c r="H3" s="3" t="s">
        <v>113</v>
      </c>
      <c r="I3" s="3" t="s">
        <v>114</v>
      </c>
    </row>
    <row r="4" spans="1:9" ht="27.6">
      <c r="A4" s="1" t="s">
        <v>33</v>
      </c>
      <c r="B4" s="4">
        <v>2046969</v>
      </c>
      <c r="C4" s="1">
        <v>180</v>
      </c>
      <c r="D4" s="5">
        <f t="shared" ref="D4:D9" si="0">B4/C4</f>
        <v>11372.05</v>
      </c>
      <c r="E4" s="1" t="s">
        <v>115</v>
      </c>
      <c r="F4" s="1" t="s">
        <v>116</v>
      </c>
      <c r="G4" s="1"/>
      <c r="H4" s="1" t="s">
        <v>117</v>
      </c>
      <c r="I4" s="1" t="s">
        <v>118</v>
      </c>
    </row>
    <row r="5" spans="1:9">
      <c r="A5" s="1" t="s">
        <v>43</v>
      </c>
      <c r="B5" s="4">
        <v>1133644</v>
      </c>
      <c r="C5" s="1">
        <v>180</v>
      </c>
      <c r="D5" s="5">
        <f t="shared" si="0"/>
        <v>6298.0222222222219</v>
      </c>
      <c r="E5" s="1" t="s">
        <v>119</v>
      </c>
      <c r="F5" s="1" t="s">
        <v>120</v>
      </c>
      <c r="G5" s="1"/>
      <c r="H5" s="1" t="s">
        <v>53</v>
      </c>
      <c r="I5" s="1" t="s">
        <v>121</v>
      </c>
    </row>
    <row r="6" spans="1:9" ht="27.6">
      <c r="A6" s="1" t="s">
        <v>53</v>
      </c>
      <c r="B6" s="4">
        <v>7333200</v>
      </c>
      <c r="C6" s="1">
        <v>180</v>
      </c>
      <c r="D6" s="5">
        <f t="shared" si="0"/>
        <v>40740</v>
      </c>
      <c r="E6" s="1" t="s">
        <v>122</v>
      </c>
      <c r="F6" s="1" t="s">
        <v>123</v>
      </c>
      <c r="G6" s="1"/>
      <c r="H6" s="1" t="s">
        <v>71</v>
      </c>
      <c r="I6" s="1" t="s">
        <v>124</v>
      </c>
    </row>
    <row r="7" spans="1:9" ht="27.6">
      <c r="A7" s="1" t="s">
        <v>71</v>
      </c>
      <c r="B7" s="4">
        <v>975000</v>
      </c>
      <c r="C7" s="1">
        <v>180</v>
      </c>
      <c r="D7" s="5">
        <f t="shared" si="0"/>
        <v>5416.666666666667</v>
      </c>
      <c r="E7" s="1" t="s">
        <v>125</v>
      </c>
      <c r="F7" s="1" t="s">
        <v>126</v>
      </c>
      <c r="G7" s="1"/>
      <c r="H7" s="1" t="s">
        <v>83</v>
      </c>
      <c r="I7" s="1" t="s">
        <v>127</v>
      </c>
    </row>
    <row r="8" spans="1:9">
      <c r="A8" s="1" t="s">
        <v>78</v>
      </c>
      <c r="B8" s="4">
        <v>877216</v>
      </c>
      <c r="C8" s="1">
        <v>180</v>
      </c>
      <c r="D8" s="5">
        <f t="shared" si="0"/>
        <v>4873.4222222222224</v>
      </c>
      <c r="E8" s="1" t="s">
        <v>119</v>
      </c>
      <c r="F8" s="1" t="s">
        <v>128</v>
      </c>
      <c r="G8" s="1"/>
      <c r="H8" s="1"/>
      <c r="I8" s="1"/>
    </row>
    <row r="9" spans="1:9" ht="27.6">
      <c r="A9" s="1" t="s">
        <v>83</v>
      </c>
      <c r="B9" s="4">
        <v>1109975</v>
      </c>
      <c r="C9" s="1">
        <v>180</v>
      </c>
      <c r="D9" s="5">
        <f t="shared" si="0"/>
        <v>6166.5277777777774</v>
      </c>
      <c r="E9" s="1" t="s">
        <v>129</v>
      </c>
      <c r="F9" s="1" t="s">
        <v>130</v>
      </c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B11" sqref="B11"/>
    </sheetView>
  </sheetViews>
  <sheetFormatPr baseColWidth="10" defaultColWidth="8.796875" defaultRowHeight="13.8"/>
  <cols>
    <col min="1" max="1" width="34" customWidth="1"/>
    <col min="2" max="2" width="20" customWidth="1"/>
    <col min="4" max="4" width="34" customWidth="1"/>
    <col min="5" max="6" width="18" customWidth="1"/>
  </cols>
  <sheetData>
    <row r="1" spans="1:6" ht="21">
      <c r="A1" s="48" t="s">
        <v>131</v>
      </c>
      <c r="B1" s="48"/>
      <c r="C1" s="48"/>
      <c r="D1" s="48"/>
      <c r="E1" s="48"/>
      <c r="F1" s="48"/>
    </row>
    <row r="2" spans="1:6">
      <c r="A2" s="1"/>
      <c r="B2" s="1"/>
      <c r="C2" s="1"/>
      <c r="D2" s="1"/>
      <c r="E2" s="1"/>
      <c r="F2" s="1"/>
    </row>
    <row r="3" spans="1:6">
      <c r="A3" s="7" t="s">
        <v>132</v>
      </c>
      <c r="B3" s="7" t="s">
        <v>133</v>
      </c>
      <c r="C3" s="1"/>
      <c r="D3" s="7" t="s">
        <v>134</v>
      </c>
      <c r="E3" s="7" t="s">
        <v>135</v>
      </c>
      <c r="F3" s="7" t="s">
        <v>136</v>
      </c>
    </row>
    <row r="4" spans="1:6">
      <c r="A4" s="1" t="s">
        <v>137</v>
      </c>
      <c r="B4" s="6" t="s">
        <v>138</v>
      </c>
      <c r="C4" s="1"/>
      <c r="D4" s="1" t="s">
        <v>33</v>
      </c>
      <c r="E4" s="45">
        <v>50</v>
      </c>
      <c r="F4" s="46">
        <v>568602.5</v>
      </c>
    </row>
    <row r="5" spans="1:6">
      <c r="A5" s="1" t="s">
        <v>139</v>
      </c>
      <c r="B5" s="6" t="s">
        <v>140</v>
      </c>
      <c r="C5" s="1"/>
      <c r="D5" s="1" t="s">
        <v>43</v>
      </c>
      <c r="E5" s="45">
        <v>54</v>
      </c>
      <c r="F5" s="46">
        <v>340093.2</v>
      </c>
    </row>
    <row r="6" spans="1:6">
      <c r="A6" s="1" t="s">
        <v>141</v>
      </c>
      <c r="B6" s="1">
        <v>31</v>
      </c>
      <c r="C6" s="1"/>
      <c r="D6" s="1" t="s">
        <v>53</v>
      </c>
      <c r="E6" s="45">
        <v>110</v>
      </c>
      <c r="F6" s="46">
        <v>4481400</v>
      </c>
    </row>
    <row r="7" spans="1:6">
      <c r="A7" s="1" t="s">
        <v>142</v>
      </c>
      <c r="B7" s="1">
        <v>426</v>
      </c>
      <c r="C7" s="1"/>
      <c r="D7" s="1" t="s">
        <v>71</v>
      </c>
      <c r="E7" s="45">
        <v>62</v>
      </c>
      <c r="F7" s="46">
        <v>335833.33333333337</v>
      </c>
    </row>
    <row r="8" spans="1:6">
      <c r="A8" s="1" t="s">
        <v>143</v>
      </c>
      <c r="B8" s="46">
        <v>6562977.02222222</v>
      </c>
      <c r="C8" s="1"/>
      <c r="D8" s="1" t="s">
        <v>78</v>
      </c>
      <c r="E8" s="45">
        <v>68</v>
      </c>
      <c r="F8" s="46">
        <v>331392.71111111116</v>
      </c>
    </row>
    <row r="9" spans="1:6">
      <c r="A9" s="1"/>
      <c r="B9" s="1"/>
      <c r="C9" s="1"/>
      <c r="D9" s="1" t="s">
        <v>83</v>
      </c>
      <c r="E9" s="45">
        <v>82</v>
      </c>
      <c r="F9" s="46">
        <v>505655.27777777775</v>
      </c>
    </row>
    <row r="11" spans="1:6" ht="13.8" customHeight="1">
      <c r="B11" s="65"/>
    </row>
    <row r="12" spans="1:6" ht="13.8" customHeight="1"/>
    <row r="13" spans="1:6" ht="13.8" customHeight="1"/>
    <row r="14" spans="1:6" ht="13.8" customHeight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Gantt</vt:lpstr>
      <vt:lpstr>Costos Profesionales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perez henriquez</dc:creator>
  <cp:lastModifiedBy>benjamin perez henriquez</cp:lastModifiedBy>
  <dcterms:created xsi:type="dcterms:W3CDTF">2026-07-10T10:55:18Z</dcterms:created>
  <dcterms:modified xsi:type="dcterms:W3CDTF">2026-07-10T10:55:30Z</dcterms:modified>
</cp:coreProperties>
</file>